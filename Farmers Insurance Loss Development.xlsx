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kandel/Documents/Jobs/"/>
    </mc:Choice>
  </mc:AlternateContent>
  <xr:revisionPtr revIDLastSave="0" documentId="8_{A10BB7AE-18EB-D24B-A138-D4DA0CE0D60B}" xr6:coauthVersionLast="47" xr6:coauthVersionMax="47" xr10:uidLastSave="{00000000-0000-0000-0000-000000000000}"/>
  <bookViews>
    <workbookView xWindow="0" yWindow="0" windowWidth="33600" windowHeight="21000" activeTab="3" xr2:uid="{0E49BE21-35BB-5148-BA41-A488CFB11C22}"/>
  </bookViews>
  <sheets>
    <sheet name="loss development" sheetId="1" r:id="rId1"/>
    <sheet name="year to ultimate LDF" sheetId="2" r:id="rId2"/>
    <sheet name="loss reserve and loss ratio" sheetId="3" r:id="rId3"/>
    <sheet name="rate adequacy verdic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0" i="4" l="1"/>
  <c r="F109" i="4"/>
  <c r="F108" i="4"/>
  <c r="F107" i="4"/>
  <c r="F106" i="4"/>
  <c r="F105" i="4"/>
  <c r="F104" i="4"/>
  <c r="F103" i="4"/>
  <c r="F102" i="4"/>
  <c r="F101" i="4"/>
  <c r="F92" i="4"/>
  <c r="F91" i="4"/>
  <c r="F90" i="4"/>
  <c r="F89" i="4"/>
  <c r="F88" i="4"/>
  <c r="F87" i="4"/>
  <c r="F86" i="4"/>
  <c r="F85" i="4"/>
  <c r="F84" i="4"/>
  <c r="F83" i="4"/>
  <c r="F74" i="4"/>
  <c r="F73" i="4"/>
  <c r="F72" i="4"/>
  <c r="F71" i="4"/>
  <c r="F70" i="4"/>
  <c r="F69" i="4"/>
  <c r="F68" i="4"/>
  <c r="F67" i="4"/>
  <c r="F66" i="4"/>
  <c r="F65" i="4"/>
  <c r="F56" i="4"/>
  <c r="F55" i="4"/>
  <c r="F54" i="4"/>
  <c r="F53" i="4"/>
  <c r="F52" i="4"/>
  <c r="F51" i="4"/>
  <c r="F50" i="4"/>
  <c r="F49" i="4"/>
  <c r="F48" i="4"/>
  <c r="F47" i="4"/>
  <c r="F38" i="4"/>
  <c r="F37" i="4"/>
  <c r="F36" i="4"/>
  <c r="F35" i="4"/>
  <c r="F34" i="4"/>
  <c r="F33" i="4"/>
  <c r="F32" i="4"/>
  <c r="F31" i="4"/>
  <c r="F30" i="4"/>
  <c r="F29" i="4"/>
  <c r="D110" i="4"/>
  <c r="D109" i="4"/>
  <c r="D108" i="4"/>
  <c r="D107" i="4"/>
  <c r="D106" i="4"/>
  <c r="D105" i="4"/>
  <c r="D104" i="4"/>
  <c r="D103" i="4"/>
  <c r="D102" i="4"/>
  <c r="D101" i="4"/>
  <c r="D92" i="4"/>
  <c r="D91" i="4"/>
  <c r="D90" i="4"/>
  <c r="D89" i="4"/>
  <c r="D88" i="4"/>
  <c r="D87" i="4"/>
  <c r="D86" i="4"/>
  <c r="D85" i="4"/>
  <c r="D84" i="4"/>
  <c r="D83" i="4"/>
  <c r="D74" i="4"/>
  <c r="D73" i="4"/>
  <c r="D72" i="4"/>
  <c r="D71" i="4"/>
  <c r="D70" i="4"/>
  <c r="D69" i="4"/>
  <c r="D68" i="4"/>
  <c r="D67" i="4"/>
  <c r="D66" i="4"/>
  <c r="D65" i="4"/>
  <c r="D56" i="4"/>
  <c r="D55" i="4"/>
  <c r="D54" i="4"/>
  <c r="D53" i="4"/>
  <c r="D52" i="4"/>
  <c r="D51" i="4"/>
  <c r="D50" i="4"/>
  <c r="D49" i="4"/>
  <c r="D48" i="4"/>
  <c r="D47" i="4"/>
  <c r="D38" i="4"/>
  <c r="D37" i="4"/>
  <c r="D36" i="4"/>
  <c r="D35" i="4"/>
  <c r="D34" i="4"/>
  <c r="D33" i="4"/>
  <c r="D32" i="4"/>
  <c r="D31" i="4"/>
  <c r="D30" i="4"/>
  <c r="D29" i="4"/>
  <c r="J111" i="3"/>
  <c r="J110" i="3"/>
  <c r="J109" i="3"/>
  <c r="J108" i="3"/>
  <c r="J107" i="3"/>
  <c r="J106" i="3"/>
  <c r="J105" i="3"/>
  <c r="J104" i="3"/>
  <c r="J103" i="3"/>
  <c r="J102" i="3"/>
  <c r="J101" i="3"/>
  <c r="J93" i="3"/>
  <c r="J92" i="3"/>
  <c r="J91" i="3"/>
  <c r="J90" i="3"/>
  <c r="J89" i="3"/>
  <c r="J88" i="3"/>
  <c r="J87" i="3"/>
  <c r="J86" i="3"/>
  <c r="J85" i="3"/>
  <c r="J84" i="3"/>
  <c r="J83" i="3"/>
  <c r="J75" i="3"/>
  <c r="J74" i="3"/>
  <c r="J73" i="3"/>
  <c r="J72" i="3"/>
  <c r="J71" i="3"/>
  <c r="J70" i="3"/>
  <c r="J69" i="3"/>
  <c r="J68" i="3"/>
  <c r="J67" i="3"/>
  <c r="J66" i="3"/>
  <c r="J65" i="3"/>
  <c r="J57" i="3"/>
  <c r="J56" i="3"/>
  <c r="J55" i="3"/>
  <c r="J54" i="3"/>
  <c r="J53" i="3"/>
  <c r="J52" i="3"/>
  <c r="J51" i="3"/>
  <c r="J50" i="3"/>
  <c r="J49" i="3"/>
  <c r="J48" i="3"/>
  <c r="J47" i="3"/>
  <c r="J39" i="3"/>
  <c r="J38" i="3"/>
  <c r="J37" i="3"/>
  <c r="J36" i="3"/>
  <c r="J35" i="3"/>
  <c r="J34" i="3"/>
  <c r="J33" i="3"/>
  <c r="J32" i="3"/>
  <c r="J31" i="3"/>
  <c r="J30" i="3"/>
  <c r="J29" i="3"/>
  <c r="I111" i="3"/>
  <c r="I93" i="3"/>
  <c r="I75" i="3"/>
  <c r="I57" i="3"/>
  <c r="I39" i="3"/>
  <c r="H110" i="3"/>
  <c r="H109" i="3"/>
  <c r="H108" i="3"/>
  <c r="H107" i="3"/>
  <c r="H106" i="3"/>
  <c r="H105" i="3"/>
  <c r="H104" i="3"/>
  <c r="H103" i="3"/>
  <c r="H102" i="3"/>
  <c r="H101" i="3"/>
  <c r="H111" i="3" s="1"/>
  <c r="H92" i="3"/>
  <c r="H91" i="3"/>
  <c r="H90" i="3"/>
  <c r="H89" i="3"/>
  <c r="H88" i="3"/>
  <c r="H87" i="3"/>
  <c r="H86" i="3"/>
  <c r="H85" i="3"/>
  <c r="H84" i="3"/>
  <c r="H83" i="3"/>
  <c r="H93" i="3" s="1"/>
  <c r="H74" i="3"/>
  <c r="H73" i="3"/>
  <c r="H72" i="3"/>
  <c r="H71" i="3"/>
  <c r="H70" i="3"/>
  <c r="H69" i="3"/>
  <c r="H68" i="3"/>
  <c r="H67" i="3"/>
  <c r="H66" i="3"/>
  <c r="H65" i="3"/>
  <c r="H75" i="3" s="1"/>
  <c r="H56" i="3"/>
  <c r="H55" i="3"/>
  <c r="H54" i="3"/>
  <c r="H53" i="3"/>
  <c r="H52" i="3"/>
  <c r="H51" i="3"/>
  <c r="H50" i="3"/>
  <c r="H49" i="3"/>
  <c r="H48" i="3"/>
  <c r="H47" i="3"/>
  <c r="H57" i="3" s="1"/>
  <c r="H38" i="3"/>
  <c r="H37" i="3"/>
  <c r="H36" i="3"/>
  <c r="H35" i="3"/>
  <c r="H34" i="3"/>
  <c r="H33" i="3"/>
  <c r="H32" i="3"/>
  <c r="H31" i="3"/>
  <c r="H39" i="3" s="1"/>
  <c r="H30" i="3"/>
  <c r="H29" i="3"/>
  <c r="G110" i="3"/>
  <c r="G109" i="3"/>
  <c r="G108" i="3"/>
  <c r="G107" i="3"/>
  <c r="G106" i="3"/>
  <c r="G105" i="3"/>
  <c r="G104" i="3"/>
  <c r="G103" i="3"/>
  <c r="G102" i="3"/>
  <c r="G101" i="3"/>
  <c r="G111" i="3" s="1"/>
  <c r="G92" i="3"/>
  <c r="G91" i="3"/>
  <c r="G90" i="3"/>
  <c r="G89" i="3"/>
  <c r="G88" i="3"/>
  <c r="G87" i="3"/>
  <c r="G86" i="3"/>
  <c r="G85" i="3"/>
  <c r="G84" i="3"/>
  <c r="G83" i="3"/>
  <c r="G93" i="3" s="1"/>
  <c r="G74" i="3"/>
  <c r="G73" i="3"/>
  <c r="G72" i="3"/>
  <c r="G71" i="3"/>
  <c r="G70" i="3"/>
  <c r="G69" i="3"/>
  <c r="G68" i="3"/>
  <c r="G67" i="3"/>
  <c r="G66" i="3"/>
  <c r="G65" i="3"/>
  <c r="G75" i="3" s="1"/>
  <c r="G56" i="3"/>
  <c r="G55" i="3"/>
  <c r="G54" i="3"/>
  <c r="G53" i="3"/>
  <c r="G52" i="3"/>
  <c r="G51" i="3"/>
  <c r="G50" i="3"/>
  <c r="G49" i="3"/>
  <c r="G48" i="3"/>
  <c r="G47" i="3"/>
  <c r="G57" i="3" s="1"/>
  <c r="G38" i="3"/>
  <c r="G37" i="3"/>
  <c r="G36" i="3"/>
  <c r="G35" i="3"/>
  <c r="G34" i="3"/>
  <c r="G33" i="3"/>
  <c r="G32" i="3"/>
  <c r="G31" i="3"/>
  <c r="G30" i="3"/>
  <c r="G29" i="3"/>
  <c r="G39" i="3" s="1"/>
  <c r="F110" i="3"/>
  <c r="F109" i="3"/>
  <c r="F108" i="3"/>
  <c r="F107" i="3"/>
  <c r="F106" i="3"/>
  <c r="F105" i="3"/>
  <c r="F104" i="3"/>
  <c r="F103" i="3"/>
  <c r="F102" i="3"/>
  <c r="F101" i="3"/>
  <c r="F92" i="3"/>
  <c r="F91" i="3"/>
  <c r="F90" i="3"/>
  <c r="F89" i="3"/>
  <c r="F88" i="3"/>
  <c r="F87" i="3"/>
  <c r="F86" i="3"/>
  <c r="F85" i="3"/>
  <c r="F84" i="3"/>
  <c r="F83" i="3"/>
  <c r="F74" i="3"/>
  <c r="F73" i="3"/>
  <c r="F72" i="3"/>
  <c r="F71" i="3"/>
  <c r="F70" i="3"/>
  <c r="F69" i="3"/>
  <c r="F68" i="3"/>
  <c r="F67" i="3"/>
  <c r="F66" i="3"/>
  <c r="F65" i="3"/>
  <c r="F56" i="3"/>
  <c r="F55" i="3"/>
  <c r="F54" i="3"/>
  <c r="F53" i="3"/>
  <c r="F52" i="3"/>
  <c r="F51" i="3"/>
  <c r="F50" i="3"/>
  <c r="F49" i="3"/>
  <c r="F48" i="3"/>
  <c r="F47" i="3"/>
  <c r="F38" i="3"/>
  <c r="F37" i="3"/>
  <c r="F36" i="3"/>
  <c r="F35" i="3"/>
  <c r="F34" i="3"/>
  <c r="F33" i="3"/>
  <c r="F32" i="3"/>
  <c r="F31" i="3"/>
  <c r="F30" i="3"/>
  <c r="F29" i="3"/>
  <c r="D110" i="3"/>
  <c r="D109" i="3"/>
  <c r="D108" i="3"/>
  <c r="D107" i="3"/>
  <c r="D106" i="3"/>
  <c r="D105" i="3"/>
  <c r="D104" i="3"/>
  <c r="D103" i="3"/>
  <c r="D102" i="3"/>
  <c r="D101" i="3"/>
  <c r="D92" i="3"/>
  <c r="D91" i="3"/>
  <c r="D90" i="3"/>
  <c r="D89" i="3"/>
  <c r="D88" i="3"/>
  <c r="D87" i="3"/>
  <c r="D86" i="3"/>
  <c r="D85" i="3"/>
  <c r="D84" i="3"/>
  <c r="D83" i="3"/>
  <c r="D74" i="3"/>
  <c r="D73" i="3"/>
  <c r="D72" i="3"/>
  <c r="D71" i="3"/>
  <c r="D70" i="3"/>
  <c r="D69" i="3"/>
  <c r="D68" i="3"/>
  <c r="D67" i="3"/>
  <c r="D66" i="3"/>
  <c r="D65" i="3"/>
  <c r="D56" i="3"/>
  <c r="D55" i="3"/>
  <c r="D54" i="3"/>
  <c r="D53" i="3"/>
  <c r="D52" i="3"/>
  <c r="D51" i="3"/>
  <c r="D50" i="3"/>
  <c r="D49" i="3"/>
  <c r="D48" i="3"/>
  <c r="D47" i="3"/>
  <c r="D38" i="3"/>
  <c r="D37" i="3"/>
  <c r="D36" i="3"/>
  <c r="D35" i="3"/>
  <c r="D34" i="3"/>
  <c r="D33" i="3"/>
  <c r="D32" i="3"/>
  <c r="D31" i="3"/>
  <c r="D30" i="3"/>
  <c r="D29" i="3"/>
  <c r="F109" i="2"/>
  <c r="F108" i="2"/>
  <c r="F107" i="2"/>
  <c r="F106" i="2"/>
  <c r="F105" i="2"/>
  <c r="F104" i="2"/>
  <c r="F103" i="2"/>
  <c r="F102" i="2"/>
  <c r="F101" i="2"/>
  <c r="F91" i="2"/>
  <c r="F90" i="2"/>
  <c r="F89" i="2"/>
  <c r="F88" i="2"/>
  <c r="F87" i="2"/>
  <c r="F86" i="2"/>
  <c r="F85" i="2"/>
  <c r="F84" i="2"/>
  <c r="F83" i="2"/>
  <c r="F73" i="2"/>
  <c r="F72" i="2"/>
  <c r="F71" i="2"/>
  <c r="F70" i="2"/>
  <c r="F69" i="2"/>
  <c r="F68" i="2"/>
  <c r="F67" i="2"/>
  <c r="F66" i="2"/>
  <c r="F65" i="2"/>
  <c r="F55" i="2"/>
  <c r="F54" i="2"/>
  <c r="F53" i="2"/>
  <c r="F52" i="2"/>
  <c r="F51" i="2"/>
  <c r="F50" i="2"/>
  <c r="F49" i="2"/>
  <c r="F48" i="2"/>
  <c r="F47" i="2"/>
  <c r="F37" i="2"/>
  <c r="F36" i="2"/>
  <c r="F35" i="2"/>
  <c r="F34" i="2"/>
  <c r="F33" i="2"/>
  <c r="F32" i="2"/>
  <c r="F31" i="2"/>
  <c r="F30" i="2"/>
  <c r="F29" i="2"/>
  <c r="D109" i="2"/>
  <c r="D108" i="2"/>
  <c r="D107" i="2"/>
  <c r="D106" i="2"/>
  <c r="D105" i="2"/>
  <c r="D104" i="2"/>
  <c r="D103" i="2"/>
  <c r="D102" i="2"/>
  <c r="D101" i="2"/>
  <c r="D91" i="2"/>
  <c r="D90" i="2"/>
  <c r="D89" i="2"/>
  <c r="D88" i="2"/>
  <c r="D87" i="2"/>
  <c r="D86" i="2"/>
  <c r="D85" i="2"/>
  <c r="D84" i="2"/>
  <c r="D83" i="2"/>
  <c r="D73" i="2"/>
  <c r="D72" i="2"/>
  <c r="D71" i="2"/>
  <c r="D70" i="2"/>
  <c r="D69" i="2"/>
  <c r="D68" i="2"/>
  <c r="D67" i="2"/>
  <c r="D66" i="2"/>
  <c r="D65" i="2"/>
  <c r="D55" i="2"/>
  <c r="D54" i="2"/>
  <c r="D53" i="2"/>
  <c r="D52" i="2"/>
  <c r="D51" i="2"/>
  <c r="D50" i="2"/>
  <c r="D49" i="2"/>
  <c r="D48" i="2"/>
  <c r="D47" i="2"/>
  <c r="D37" i="2"/>
  <c r="D36" i="2"/>
  <c r="D35" i="2"/>
  <c r="D34" i="2"/>
  <c r="D33" i="2"/>
  <c r="D32" i="2"/>
  <c r="D31" i="2"/>
  <c r="D30" i="2"/>
  <c r="D29" i="2"/>
</calcChain>
</file>

<file path=xl/sharedStrings.xml><?xml version="1.0" encoding="utf-8"?>
<sst xmlns="http://schemas.openxmlformats.org/spreadsheetml/2006/main" count="278" uniqueCount="47">
  <si>
    <t>Years in which losses where incurred</t>
  </si>
  <si>
    <t>Combined Cumulative Net Losses Across All Business</t>
  </si>
  <si>
    <t>Cumulative Net losses For Homeowners and Farmowners</t>
  </si>
  <si>
    <t>Cumulative Net losses For PRIVATE PASSENGER AUTO LIABILITY/MEDICAL</t>
  </si>
  <si>
    <t>Cumulative Net losses For COMMERCIAL AUTO/TRUCK LIABILITY/MEDICAL</t>
  </si>
  <si>
    <t>Cumulative Net losses For WORKERS' COMPENSATION</t>
  </si>
  <si>
    <t>Cumulative Net losses For COMMERCIAL MULTIPLE PERIL</t>
  </si>
  <si>
    <t>No Information</t>
  </si>
  <si>
    <t>Volume weighted loss development factor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</si>
  <si>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</si>
  <si>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</si>
  <si>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</si>
  <si>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</si>
  <si>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</si>
  <si>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</si>
  <si>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</si>
  <si>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</si>
  <si>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</si>
  <si>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</si>
  <si>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Year to ultimate loss development factor</t>
  </si>
  <si>
    <t>1 to ultimate</t>
  </si>
  <si>
    <t>2 to ultimate</t>
  </si>
  <si>
    <t>3 to ultimate</t>
  </si>
  <si>
    <t>4 to ultimate</t>
  </si>
  <si>
    <t>5 to ultimate</t>
  </si>
  <si>
    <t>6 to ultimate</t>
  </si>
  <si>
    <t>7 to ultimate</t>
  </si>
  <si>
    <t>8 to ultimate</t>
  </si>
  <si>
    <t>9 to ultimate</t>
  </si>
  <si>
    <t>10 to ultimate</t>
  </si>
  <si>
    <t>Accident Year</t>
  </si>
  <si>
    <t>Cumulative paid loss to date</t>
  </si>
  <si>
    <t>Age at latest evaluation</t>
  </si>
  <si>
    <t>Ultimate Loss development Factor</t>
  </si>
  <si>
    <t>Expected Loss(Chain Ladder Method)</t>
  </si>
  <si>
    <t>Loss Reserves(Chain Ladder Method)</t>
  </si>
  <si>
    <t>Earned Premiums</t>
  </si>
  <si>
    <t>Expected Loss Ratio</t>
  </si>
  <si>
    <t>Total</t>
  </si>
  <si>
    <t>e</t>
  </si>
  <si>
    <t>Indicative Loss Ratio(Percentage)</t>
  </si>
  <si>
    <t>Target Loss Ratio%(Average )</t>
  </si>
  <si>
    <t>Difference(Points)</t>
  </si>
  <si>
    <t>Rate Adequacy  Verdict</t>
  </si>
  <si>
    <t>Roughly Adequate</t>
  </si>
  <si>
    <t>Overcharged</t>
  </si>
  <si>
    <t>Undercharged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</si>
</sst>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3" fillId="2" borderId="0" xfId="0" applyFont="1" applyFill="1"/>
    <xf numFmtId="3" fontId="4" fillId="0" borderId="0" xfId="0" applyNumberFormat="1" applyFont="1" applyAlignment="1">
      <alignment horizontal="right"/>
    </xf>
    <xf numFmtId="0" fontId="0" fillId="3" borderId="0" xfId="0" applyFill="1"/>
    <xf numFmtId="0" fontId="5" fillId="0" borderId="0" xfId="0" applyFont="1"/>
    <xf numFmtId="0" fontId="6" fillId="0" borderId="0" xfId="0" applyFont="1"/>
    <xf numFmtId="3" fontId="0" fillId="0" borderId="0" xfId="0" applyNumberFormat="1"/>
    <xf numFmtId="2" fontId="5" fillId="0" borderId="0" xfId="0" applyNumberFormat="1" applyFont="1"/>
    <xf numFmtId="2" fontId="0" fillId="0" borderId="0" xfId="0" applyNumberFormat="1"/>
    <xf numFmtId="3" fontId="5" fillId="0" borderId="0" xfId="0" applyNumberFormat="1" applyFont="1"/>
    <xf numFmtId="0" fontId="5" fillId="4" borderId="0" xfId="0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0D62-233E-C349-8052-FF806834B27B}">
  <dimension ref="B6:X110"/>
  <sheetViews>
    <sheetView topLeftCell="B1" workbookViewId="0">
      <selection activeCell="Q8" sqref="Q8:Y20"/>
    </sheetView>
  </sheetViews>
  <sheetFormatPr baseColWidth="10" defaultRowHeight="16" x14ac:dyDescent="0.2"/>
  <cols>
    <col min="2" max="2" width="50.83203125" bestFit="1" customWidth="1"/>
    <col min="3" max="3" width="13.1640625" bestFit="1" customWidth="1"/>
    <col min="5" max="5" width="13.1640625" bestFit="1" customWidth="1"/>
  </cols>
  <sheetData>
    <row r="6" spans="2:24" x14ac:dyDescent="0.2">
      <c r="B6" s="4" t="s">
        <v>1</v>
      </c>
    </row>
    <row r="8" spans="2:24" x14ac:dyDescent="0.2">
      <c r="B8" s="1" t="s">
        <v>0</v>
      </c>
      <c r="C8" s="3">
        <v>0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</row>
    <row r="9" spans="2:24" x14ac:dyDescent="0.2">
      <c r="B9" s="2">
        <v>2016</v>
      </c>
      <c r="R9" s="2"/>
      <c r="S9" s="3"/>
      <c r="T9" s="3"/>
      <c r="U9" s="3"/>
      <c r="V9" s="3"/>
      <c r="W9" s="3"/>
      <c r="X9" s="3"/>
    </row>
    <row r="10" spans="2:24" x14ac:dyDescent="0.2">
      <c r="B10" s="2">
        <v>2017</v>
      </c>
      <c r="E10" s="7" t="s">
        <v>7</v>
      </c>
      <c r="R10" s="2"/>
      <c r="S10" s="6"/>
      <c r="T10" s="6"/>
      <c r="U10" s="6"/>
      <c r="V10" s="6"/>
      <c r="W10" s="6"/>
      <c r="X10" s="6"/>
    </row>
    <row r="11" spans="2:24" x14ac:dyDescent="0.2">
      <c r="B11" s="2">
        <v>2018</v>
      </c>
      <c r="R11" s="2"/>
      <c r="S11" s="6"/>
      <c r="T11" s="6"/>
      <c r="U11" s="6"/>
      <c r="V11" s="6"/>
      <c r="W11" s="6"/>
      <c r="X11" s="6"/>
    </row>
    <row r="12" spans="2:24" x14ac:dyDescent="0.2">
      <c r="B12" s="2">
        <v>2019</v>
      </c>
      <c r="R12" s="2"/>
      <c r="S12" s="6"/>
      <c r="T12" s="6"/>
      <c r="U12" s="6"/>
      <c r="V12" s="6"/>
      <c r="W12" s="6"/>
      <c r="X12" s="6"/>
    </row>
    <row r="13" spans="2:24" x14ac:dyDescent="0.2">
      <c r="B13" s="2">
        <v>2020</v>
      </c>
      <c r="R13" s="2"/>
      <c r="S13" s="6"/>
      <c r="T13" s="6"/>
      <c r="U13" s="6"/>
      <c r="V13" s="6"/>
      <c r="W13" s="6"/>
      <c r="X13" s="6"/>
    </row>
    <row r="14" spans="2:24" x14ac:dyDescent="0.2">
      <c r="B14" s="2">
        <v>2021</v>
      </c>
      <c r="R14" s="2"/>
      <c r="S14" s="6"/>
      <c r="T14" s="6"/>
      <c r="U14" s="6"/>
      <c r="V14" s="6"/>
      <c r="W14" s="6"/>
      <c r="X14" s="6"/>
    </row>
    <row r="15" spans="2:24" x14ac:dyDescent="0.2">
      <c r="B15" s="2">
        <v>2022</v>
      </c>
      <c r="R15" s="2"/>
      <c r="S15" s="6"/>
      <c r="T15" s="6"/>
      <c r="U15" s="6"/>
      <c r="V15" s="6"/>
      <c r="W15" s="6"/>
      <c r="X15" s="6"/>
    </row>
    <row r="16" spans="2:24" x14ac:dyDescent="0.2">
      <c r="B16" s="2">
        <v>2023</v>
      </c>
      <c r="R16" s="2"/>
      <c r="S16" s="6"/>
      <c r="T16" s="6"/>
      <c r="U16" s="6"/>
      <c r="V16" s="6"/>
      <c r="W16" s="6"/>
      <c r="X16" s="6"/>
    </row>
    <row r="17" spans="2:24" x14ac:dyDescent="0.2">
      <c r="B17" s="2">
        <v>2024</v>
      </c>
      <c r="R17" s="2"/>
      <c r="S17" s="6"/>
      <c r="T17" s="6"/>
      <c r="U17" s="6"/>
      <c r="V17" s="6"/>
      <c r="W17" s="6"/>
      <c r="X17" s="6"/>
    </row>
    <row r="18" spans="2:24" x14ac:dyDescent="0.2">
      <c r="B18" s="2">
        <v>2025</v>
      </c>
      <c r="R18" s="2"/>
      <c r="S18" s="6"/>
      <c r="T18" s="6"/>
      <c r="U18" s="6"/>
      <c r="V18" s="6"/>
      <c r="W18" s="6"/>
      <c r="X18" s="6"/>
    </row>
    <row r="19" spans="2:24" x14ac:dyDescent="0.2">
      <c r="R19" s="2"/>
      <c r="S19" s="6"/>
      <c r="T19" s="6"/>
      <c r="U19" s="6"/>
      <c r="V19" s="6"/>
      <c r="W19" s="6"/>
      <c r="X19" s="6"/>
    </row>
    <row r="26" spans="2:24" x14ac:dyDescent="0.2">
      <c r="B26" s="4" t="s">
        <v>2</v>
      </c>
    </row>
    <row r="28" spans="2:24" x14ac:dyDescent="0.2">
      <c r="B28" s="1" t="s">
        <v>0</v>
      </c>
      <c r="C28" s="3">
        <v>0</v>
      </c>
      <c r="D28" s="3">
        <v>1</v>
      </c>
      <c r="E28" s="3">
        <v>2</v>
      </c>
      <c r="F28" s="3">
        <v>3</v>
      </c>
      <c r="G28" s="3">
        <v>4</v>
      </c>
      <c r="H28" s="3">
        <v>5</v>
      </c>
      <c r="I28" s="3">
        <v>6</v>
      </c>
      <c r="J28" s="3">
        <v>7</v>
      </c>
      <c r="K28" s="3">
        <v>8</v>
      </c>
      <c r="L28" s="3">
        <v>9</v>
      </c>
    </row>
    <row r="29" spans="2:24" x14ac:dyDescent="0.2">
      <c r="B29" s="2">
        <v>2016</v>
      </c>
      <c r="C29" s="6">
        <v>886722</v>
      </c>
      <c r="D29" s="6">
        <v>1154388</v>
      </c>
      <c r="E29" s="6">
        <v>1183916</v>
      </c>
      <c r="F29" s="6">
        <v>1198662</v>
      </c>
      <c r="G29" s="6">
        <v>1204721</v>
      </c>
      <c r="H29" s="6">
        <v>1220475</v>
      </c>
      <c r="I29" s="6">
        <v>1220743</v>
      </c>
      <c r="J29" s="6">
        <v>1220960</v>
      </c>
      <c r="K29" s="6">
        <v>1220779</v>
      </c>
      <c r="L29" s="6">
        <v>1220941</v>
      </c>
    </row>
    <row r="30" spans="2:24" x14ac:dyDescent="0.2">
      <c r="B30" s="2">
        <v>2017</v>
      </c>
      <c r="C30" s="6">
        <v>1005877</v>
      </c>
      <c r="D30" s="6">
        <v>1188611</v>
      </c>
      <c r="E30" s="6">
        <v>1231070</v>
      </c>
      <c r="F30" s="6">
        <v>1231545</v>
      </c>
      <c r="G30" s="6">
        <v>1250351</v>
      </c>
      <c r="H30" s="6">
        <v>1253700</v>
      </c>
      <c r="I30" s="6">
        <v>1272578</v>
      </c>
      <c r="J30" s="6">
        <v>1276487</v>
      </c>
      <c r="K30" s="6">
        <v>1282910</v>
      </c>
      <c r="L30" s="6">
        <v>0</v>
      </c>
    </row>
    <row r="31" spans="2:24" x14ac:dyDescent="0.2">
      <c r="B31" s="2">
        <v>2018</v>
      </c>
      <c r="C31" s="6">
        <v>847791</v>
      </c>
      <c r="D31" s="6">
        <v>1102901</v>
      </c>
      <c r="E31" s="6">
        <v>1111779</v>
      </c>
      <c r="F31" s="6">
        <v>1135983</v>
      </c>
      <c r="G31" s="6">
        <v>1150505</v>
      </c>
      <c r="H31" s="6">
        <v>1156261</v>
      </c>
      <c r="I31" s="6">
        <v>1162393</v>
      </c>
      <c r="J31" s="6">
        <v>1166012</v>
      </c>
      <c r="K31" s="6">
        <v>0</v>
      </c>
      <c r="L31" s="6">
        <v>0</v>
      </c>
    </row>
    <row r="32" spans="2:24" x14ac:dyDescent="0.2">
      <c r="B32" s="2">
        <v>2019</v>
      </c>
      <c r="C32" s="6">
        <v>819594</v>
      </c>
      <c r="D32" s="6">
        <v>1140218</v>
      </c>
      <c r="E32" s="6">
        <v>1193153</v>
      </c>
      <c r="F32" s="6">
        <v>1203428</v>
      </c>
      <c r="G32" s="6">
        <v>1206556</v>
      </c>
      <c r="H32" s="6">
        <v>1210570</v>
      </c>
      <c r="I32" s="6">
        <v>1211887</v>
      </c>
      <c r="J32" s="6">
        <v>0</v>
      </c>
      <c r="K32" s="6">
        <v>0</v>
      </c>
      <c r="L32" s="6">
        <v>0</v>
      </c>
    </row>
    <row r="33" spans="2:12" x14ac:dyDescent="0.2">
      <c r="B33" s="2">
        <v>2020</v>
      </c>
      <c r="C33" s="6">
        <v>1102840</v>
      </c>
      <c r="D33" s="6">
        <v>1371973</v>
      </c>
      <c r="E33" s="6">
        <v>1452950</v>
      </c>
      <c r="F33" s="6">
        <v>1464326</v>
      </c>
      <c r="G33" s="6">
        <v>1469416</v>
      </c>
      <c r="H33" s="6">
        <v>1474497</v>
      </c>
      <c r="I33" s="6">
        <v>0</v>
      </c>
      <c r="J33" s="6">
        <v>0</v>
      </c>
      <c r="K33" s="6">
        <v>0</v>
      </c>
      <c r="L33" s="6">
        <v>0</v>
      </c>
    </row>
    <row r="34" spans="2:12" x14ac:dyDescent="0.2">
      <c r="B34" s="2">
        <v>2021</v>
      </c>
      <c r="C34" s="6">
        <v>1203133</v>
      </c>
      <c r="D34" s="6">
        <v>1641312</v>
      </c>
      <c r="E34" s="6">
        <v>1659231</v>
      </c>
      <c r="F34" s="6">
        <v>1675749</v>
      </c>
      <c r="G34" s="6">
        <v>1684873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2:12" x14ac:dyDescent="0.2">
      <c r="B35" s="2">
        <v>2022</v>
      </c>
      <c r="C35" s="6">
        <v>1131363</v>
      </c>
      <c r="D35" s="6">
        <v>1670380</v>
      </c>
      <c r="E35" s="6">
        <v>1742592</v>
      </c>
      <c r="F35" s="6">
        <v>1772310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2:12" x14ac:dyDescent="0.2">
      <c r="B36" s="2">
        <v>2023</v>
      </c>
      <c r="C36" s="6">
        <v>1434998</v>
      </c>
      <c r="D36" s="6">
        <v>1909218</v>
      </c>
      <c r="E36" s="6">
        <v>1943539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2:12" x14ac:dyDescent="0.2">
      <c r="B37" s="2">
        <v>2024</v>
      </c>
      <c r="C37" s="6">
        <v>1148897</v>
      </c>
      <c r="D37" s="6">
        <v>1517601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2:12" x14ac:dyDescent="0.2">
      <c r="B38" s="2">
        <v>2025</v>
      </c>
      <c r="C38" s="6">
        <v>983692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44" spans="2:12" x14ac:dyDescent="0.2">
      <c r="B44" s="5" t="s">
        <v>3</v>
      </c>
    </row>
    <row r="46" spans="2:12" x14ac:dyDescent="0.2">
      <c r="B46" s="1" t="s">
        <v>0</v>
      </c>
      <c r="C46" s="3">
        <v>0</v>
      </c>
      <c r="D46" s="3">
        <v>1</v>
      </c>
      <c r="E46" s="3">
        <v>2</v>
      </c>
      <c r="F46" s="3">
        <v>3</v>
      </c>
      <c r="G46" s="3">
        <v>4</v>
      </c>
      <c r="H46" s="3">
        <v>5</v>
      </c>
      <c r="I46" s="3">
        <v>6</v>
      </c>
      <c r="J46" s="3">
        <v>7</v>
      </c>
      <c r="K46" s="3">
        <v>8</v>
      </c>
      <c r="L46" s="3">
        <v>9</v>
      </c>
    </row>
    <row r="47" spans="2:12" x14ac:dyDescent="0.2">
      <c r="B47" s="2">
        <v>2016</v>
      </c>
      <c r="C47" s="6">
        <v>680840</v>
      </c>
      <c r="D47" s="6">
        <v>1239845</v>
      </c>
      <c r="E47" s="6">
        <v>1521255</v>
      </c>
      <c r="F47" s="6">
        <v>1665167</v>
      </c>
      <c r="G47" s="6">
        <v>1724537</v>
      </c>
      <c r="H47" s="6">
        <v>1750523</v>
      </c>
      <c r="I47" s="6">
        <v>1765507</v>
      </c>
      <c r="J47" s="6">
        <v>1771494</v>
      </c>
      <c r="K47" s="6">
        <v>1774756</v>
      </c>
      <c r="L47" s="6">
        <v>1775748</v>
      </c>
    </row>
    <row r="48" spans="2:12" x14ac:dyDescent="0.2">
      <c r="B48" s="2">
        <v>2017</v>
      </c>
      <c r="C48" s="6">
        <v>586856</v>
      </c>
      <c r="D48" s="6">
        <v>1095266</v>
      </c>
      <c r="E48" s="6">
        <v>1352290</v>
      </c>
      <c r="F48" s="6">
        <v>1470282</v>
      </c>
      <c r="G48" s="6">
        <v>1524939</v>
      </c>
      <c r="H48" s="6">
        <v>1554405</v>
      </c>
      <c r="I48" s="6">
        <v>1567771</v>
      </c>
      <c r="J48" s="6">
        <v>1586142</v>
      </c>
      <c r="K48" s="6">
        <v>1589188</v>
      </c>
      <c r="L48" s="6">
        <v>0</v>
      </c>
    </row>
    <row r="49" spans="2:12" x14ac:dyDescent="0.2">
      <c r="B49" s="2">
        <v>2018</v>
      </c>
      <c r="C49" s="6">
        <v>540308</v>
      </c>
      <c r="D49" s="6">
        <v>1020573</v>
      </c>
      <c r="E49" s="6">
        <v>1257414</v>
      </c>
      <c r="F49" s="6">
        <v>1359107</v>
      </c>
      <c r="G49" s="6">
        <v>1415984</v>
      </c>
      <c r="H49" s="6">
        <v>1443008</v>
      </c>
      <c r="I49" s="6">
        <v>1455794</v>
      </c>
      <c r="J49" s="6">
        <v>1460495</v>
      </c>
      <c r="K49" s="6">
        <v>0</v>
      </c>
      <c r="L49" s="6">
        <v>0</v>
      </c>
    </row>
    <row r="50" spans="2:12" x14ac:dyDescent="0.2">
      <c r="B50" s="2">
        <v>2019</v>
      </c>
      <c r="C50" s="6">
        <v>528602</v>
      </c>
      <c r="D50" s="6">
        <v>1043512</v>
      </c>
      <c r="E50" s="6">
        <v>1273264</v>
      </c>
      <c r="F50" s="6">
        <v>1389380</v>
      </c>
      <c r="G50" s="6">
        <v>1445776</v>
      </c>
      <c r="H50" s="6">
        <v>1468942</v>
      </c>
      <c r="I50" s="6">
        <v>1481083</v>
      </c>
      <c r="J50" s="6">
        <v>0</v>
      </c>
      <c r="K50" s="6">
        <v>0</v>
      </c>
      <c r="L50" s="6">
        <v>0</v>
      </c>
    </row>
    <row r="51" spans="2:12" x14ac:dyDescent="0.2">
      <c r="B51" s="2">
        <v>2020</v>
      </c>
      <c r="C51" s="6">
        <v>424257</v>
      </c>
      <c r="D51" s="6">
        <v>819223</v>
      </c>
      <c r="E51" s="6">
        <v>1003495</v>
      </c>
      <c r="F51" s="6">
        <v>1095426</v>
      </c>
      <c r="G51" s="6">
        <v>1143062</v>
      </c>
      <c r="H51" s="6">
        <v>1160694</v>
      </c>
      <c r="I51" s="6">
        <v>0</v>
      </c>
      <c r="J51" s="6">
        <v>0</v>
      </c>
      <c r="K51" s="6">
        <v>0</v>
      </c>
      <c r="L51" s="6">
        <v>0</v>
      </c>
    </row>
    <row r="52" spans="2:12" x14ac:dyDescent="0.2">
      <c r="B52" s="2">
        <v>2021</v>
      </c>
      <c r="C52" s="6">
        <v>491661</v>
      </c>
      <c r="D52" s="6">
        <v>1040096</v>
      </c>
      <c r="E52" s="6">
        <v>1295221</v>
      </c>
      <c r="F52" s="6">
        <v>1426456</v>
      </c>
      <c r="G52" s="6">
        <v>1485018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spans="2:12" x14ac:dyDescent="0.2">
      <c r="B53" s="2">
        <v>2022</v>
      </c>
      <c r="C53" s="6">
        <v>578879</v>
      </c>
      <c r="D53" s="6">
        <v>1211068</v>
      </c>
      <c r="E53" s="6">
        <v>1515275</v>
      </c>
      <c r="F53" s="6">
        <v>1643084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spans="2:12" x14ac:dyDescent="0.2">
      <c r="B54" s="2">
        <v>2023</v>
      </c>
      <c r="C54" s="6">
        <v>597084</v>
      </c>
      <c r="D54" s="6">
        <v>1241747</v>
      </c>
      <c r="E54" s="6">
        <v>1543755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spans="2:12" x14ac:dyDescent="0.2">
      <c r="B55" s="2">
        <v>2024</v>
      </c>
      <c r="C55" s="6">
        <v>590113</v>
      </c>
      <c r="D55" s="6">
        <v>1149407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spans="2:12" x14ac:dyDescent="0.2">
      <c r="B56" s="2">
        <v>2025</v>
      </c>
      <c r="C56" s="6">
        <v>597590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62" spans="2:12" x14ac:dyDescent="0.2">
      <c r="B62" s="5" t="s">
        <v>4</v>
      </c>
    </row>
    <row r="64" spans="2:12" x14ac:dyDescent="0.2">
      <c r="B64" s="1" t="s">
        <v>0</v>
      </c>
      <c r="C64" s="3">
        <v>0</v>
      </c>
      <c r="D64" s="3">
        <v>1</v>
      </c>
      <c r="E64" s="3">
        <v>2</v>
      </c>
      <c r="F64" s="3">
        <v>3</v>
      </c>
      <c r="G64" s="3">
        <v>4</v>
      </c>
      <c r="H64" s="3">
        <v>5</v>
      </c>
      <c r="I64" s="3">
        <v>6</v>
      </c>
      <c r="J64" s="3">
        <v>7</v>
      </c>
      <c r="K64" s="3">
        <v>8</v>
      </c>
      <c r="L64" s="3">
        <v>9</v>
      </c>
    </row>
    <row r="65" spans="2:12" x14ac:dyDescent="0.2">
      <c r="B65" s="2">
        <v>2016</v>
      </c>
      <c r="C65" s="6">
        <v>12327</v>
      </c>
      <c r="D65" s="6">
        <v>27465</v>
      </c>
      <c r="E65" s="6">
        <v>45384</v>
      </c>
      <c r="F65" s="6">
        <v>54697</v>
      </c>
      <c r="G65" s="6">
        <v>60132</v>
      </c>
      <c r="H65" s="6">
        <v>63352</v>
      </c>
      <c r="I65" s="6">
        <v>66196</v>
      </c>
      <c r="J65" s="6">
        <v>66272</v>
      </c>
      <c r="K65" s="6">
        <v>66483</v>
      </c>
      <c r="L65" s="6">
        <v>66499</v>
      </c>
    </row>
    <row r="66" spans="2:12" x14ac:dyDescent="0.2">
      <c r="B66" s="2">
        <v>2017</v>
      </c>
      <c r="C66" s="6">
        <v>12723</v>
      </c>
      <c r="D66" s="6">
        <v>30420</v>
      </c>
      <c r="E66" s="6">
        <v>48433</v>
      </c>
      <c r="F66" s="6">
        <v>56426</v>
      </c>
      <c r="G66" s="6">
        <v>62608</v>
      </c>
      <c r="H66" s="6">
        <v>64210</v>
      </c>
      <c r="I66" s="6">
        <v>65324</v>
      </c>
      <c r="J66" s="6">
        <v>65674</v>
      </c>
      <c r="K66" s="6">
        <v>65946</v>
      </c>
      <c r="L66" s="6">
        <v>0</v>
      </c>
    </row>
    <row r="67" spans="2:12" x14ac:dyDescent="0.2">
      <c r="B67" s="2">
        <v>2018</v>
      </c>
      <c r="C67" s="6">
        <v>17273</v>
      </c>
      <c r="D67" s="6">
        <v>40458</v>
      </c>
      <c r="E67" s="6">
        <v>65158</v>
      </c>
      <c r="F67" s="6">
        <v>80676</v>
      </c>
      <c r="G67" s="6">
        <v>91018</v>
      </c>
      <c r="H67" s="6">
        <v>94747</v>
      </c>
      <c r="I67" s="6">
        <v>96321</v>
      </c>
      <c r="J67" s="6">
        <v>97872</v>
      </c>
      <c r="K67" s="6">
        <v>0</v>
      </c>
      <c r="L67" s="6">
        <v>0</v>
      </c>
    </row>
    <row r="68" spans="2:12" x14ac:dyDescent="0.2">
      <c r="B68" s="2">
        <v>2019</v>
      </c>
      <c r="C68" s="6">
        <v>16993</v>
      </c>
      <c r="D68" s="6">
        <v>49701</v>
      </c>
      <c r="E68" s="6">
        <v>81349</v>
      </c>
      <c r="F68" s="6">
        <v>95549</v>
      </c>
      <c r="G68" s="6">
        <v>106118</v>
      </c>
      <c r="H68" s="6">
        <v>110332</v>
      </c>
      <c r="I68" s="6">
        <v>112567</v>
      </c>
      <c r="J68" s="6">
        <v>0</v>
      </c>
      <c r="K68" s="6">
        <v>0</v>
      </c>
      <c r="L68" s="6">
        <v>0</v>
      </c>
    </row>
    <row r="69" spans="2:12" x14ac:dyDescent="0.2">
      <c r="B69" s="2">
        <v>2020</v>
      </c>
      <c r="C69" s="6">
        <v>18944</v>
      </c>
      <c r="D69" s="6">
        <v>51510</v>
      </c>
      <c r="E69" s="6">
        <v>80267</v>
      </c>
      <c r="F69" s="6">
        <v>96724</v>
      </c>
      <c r="G69" s="6">
        <v>105679</v>
      </c>
      <c r="H69" s="6">
        <v>108710</v>
      </c>
      <c r="I69" s="6">
        <v>0</v>
      </c>
      <c r="J69" s="6">
        <v>0</v>
      </c>
      <c r="K69" s="6">
        <v>0</v>
      </c>
      <c r="L69" s="6">
        <v>0</v>
      </c>
    </row>
    <row r="70" spans="2:12" x14ac:dyDescent="0.2">
      <c r="B70" s="2">
        <v>2021</v>
      </c>
      <c r="C70" s="6">
        <v>25173</v>
      </c>
      <c r="D70" s="6">
        <v>68667</v>
      </c>
      <c r="E70" s="6">
        <v>107181</v>
      </c>
      <c r="F70" s="6">
        <v>130183</v>
      </c>
      <c r="G70" s="6">
        <v>141549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spans="2:12" x14ac:dyDescent="0.2">
      <c r="B71" s="2">
        <v>2022</v>
      </c>
      <c r="C71" s="6">
        <v>32637</v>
      </c>
      <c r="D71" s="6">
        <v>93256</v>
      </c>
      <c r="E71" s="6">
        <v>143779</v>
      </c>
      <c r="F71" s="6">
        <v>170710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spans="2:12" x14ac:dyDescent="0.2">
      <c r="B72" s="2">
        <v>2023</v>
      </c>
      <c r="C72" s="6">
        <v>24439</v>
      </c>
      <c r="D72" s="6">
        <v>64461</v>
      </c>
      <c r="E72" s="6">
        <v>93595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spans="2:12" x14ac:dyDescent="0.2">
      <c r="B73" s="2">
        <v>2024</v>
      </c>
      <c r="C73" s="6">
        <v>21920</v>
      </c>
      <c r="D73" s="6">
        <v>63273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spans="2:12" x14ac:dyDescent="0.2">
      <c r="B74" s="2">
        <v>2025</v>
      </c>
      <c r="C74" s="6">
        <v>26217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80" spans="2:12" x14ac:dyDescent="0.2">
      <c r="B80" s="5" t="s">
        <v>5</v>
      </c>
    </row>
    <row r="82" spans="2:12" x14ac:dyDescent="0.2">
      <c r="B82" s="1" t="s">
        <v>0</v>
      </c>
      <c r="C82" s="3">
        <v>0</v>
      </c>
      <c r="D82" s="3">
        <v>1</v>
      </c>
      <c r="E82" s="3">
        <v>2</v>
      </c>
      <c r="F82" s="3">
        <v>3</v>
      </c>
      <c r="G82" s="3">
        <v>4</v>
      </c>
      <c r="H82" s="3">
        <v>5</v>
      </c>
      <c r="I82" s="3">
        <v>6</v>
      </c>
      <c r="J82" s="3">
        <v>7</v>
      </c>
      <c r="K82" s="3">
        <v>8</v>
      </c>
      <c r="L82" s="3">
        <v>9</v>
      </c>
    </row>
    <row r="83" spans="2:12" x14ac:dyDescent="0.2">
      <c r="B83" s="2">
        <v>2016</v>
      </c>
      <c r="C83" s="6">
        <v>11618</v>
      </c>
      <c r="D83" s="6">
        <v>30381</v>
      </c>
      <c r="E83" s="6">
        <v>43027</v>
      </c>
      <c r="F83" s="6">
        <v>51261</v>
      </c>
      <c r="G83" s="6">
        <v>56791</v>
      </c>
      <c r="H83" s="6">
        <v>60186</v>
      </c>
      <c r="I83" s="6">
        <v>61939</v>
      </c>
      <c r="J83" s="6">
        <v>63196</v>
      </c>
      <c r="K83" s="6">
        <v>64227</v>
      </c>
      <c r="L83" s="6">
        <v>65019</v>
      </c>
    </row>
    <row r="84" spans="2:12" x14ac:dyDescent="0.2">
      <c r="B84" s="2">
        <v>2017</v>
      </c>
      <c r="C84" s="6">
        <v>9433</v>
      </c>
      <c r="D84" s="6">
        <v>23438</v>
      </c>
      <c r="E84" s="6">
        <v>33006</v>
      </c>
      <c r="F84" s="6">
        <v>38675</v>
      </c>
      <c r="G84" s="6">
        <v>42382</v>
      </c>
      <c r="H84" s="6">
        <v>44770</v>
      </c>
      <c r="I84" s="6">
        <v>46219</v>
      </c>
      <c r="J84" s="6">
        <v>48149</v>
      </c>
      <c r="K84" s="6">
        <v>49003</v>
      </c>
      <c r="L84" s="6">
        <v>0</v>
      </c>
    </row>
    <row r="85" spans="2:12" x14ac:dyDescent="0.2">
      <c r="B85" s="2">
        <v>2018</v>
      </c>
      <c r="C85" s="6">
        <v>9212</v>
      </c>
      <c r="D85" s="6">
        <v>23160</v>
      </c>
      <c r="E85" s="6">
        <v>31774</v>
      </c>
      <c r="F85" s="6">
        <v>38335</v>
      </c>
      <c r="G85" s="6">
        <v>42602</v>
      </c>
      <c r="H85" s="6">
        <v>45596</v>
      </c>
      <c r="I85" s="6">
        <v>47024</v>
      </c>
      <c r="J85" s="6">
        <v>47987</v>
      </c>
      <c r="K85" s="6">
        <v>0</v>
      </c>
      <c r="L85" s="6">
        <v>0</v>
      </c>
    </row>
    <row r="86" spans="2:12" x14ac:dyDescent="0.2">
      <c r="B86" s="2">
        <v>2019</v>
      </c>
      <c r="C86" s="6">
        <v>8471</v>
      </c>
      <c r="D86" s="6">
        <v>20460</v>
      </c>
      <c r="E86" s="6">
        <v>29177</v>
      </c>
      <c r="F86" s="6">
        <v>35101</v>
      </c>
      <c r="G86" s="6">
        <v>38617</v>
      </c>
      <c r="H86" s="6">
        <v>40430</v>
      </c>
      <c r="I86" s="6">
        <v>41946</v>
      </c>
      <c r="J86" s="6">
        <v>0</v>
      </c>
      <c r="K86" s="6">
        <v>0</v>
      </c>
      <c r="L86" s="6">
        <v>0</v>
      </c>
    </row>
    <row r="87" spans="2:12" x14ac:dyDescent="0.2">
      <c r="B87" s="2">
        <v>2020</v>
      </c>
      <c r="C87" s="6">
        <v>6463</v>
      </c>
      <c r="D87" s="6">
        <v>17463</v>
      </c>
      <c r="E87" s="6">
        <v>26879</v>
      </c>
      <c r="F87" s="6">
        <v>33703</v>
      </c>
      <c r="G87" s="6">
        <v>37049</v>
      </c>
      <c r="H87" s="6">
        <v>39810</v>
      </c>
      <c r="I87" s="6">
        <v>0</v>
      </c>
      <c r="J87" s="6">
        <v>0</v>
      </c>
      <c r="K87" s="6">
        <v>0</v>
      </c>
      <c r="L87" s="6">
        <v>0</v>
      </c>
    </row>
    <row r="88" spans="2:12" x14ac:dyDescent="0.2">
      <c r="B88" s="2">
        <v>2021</v>
      </c>
      <c r="C88" s="6">
        <v>6530</v>
      </c>
      <c r="D88" s="6">
        <v>16744</v>
      </c>
      <c r="E88" s="6">
        <v>24600</v>
      </c>
      <c r="F88" s="6">
        <v>28635</v>
      </c>
      <c r="G88" s="6">
        <v>31672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spans="2:12" x14ac:dyDescent="0.2">
      <c r="B89" s="2">
        <v>2022</v>
      </c>
      <c r="C89" s="6">
        <v>7135</v>
      </c>
      <c r="D89" s="6">
        <v>18625</v>
      </c>
      <c r="E89" s="6">
        <v>25878</v>
      </c>
      <c r="F89" s="6">
        <v>31804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spans="2:12" x14ac:dyDescent="0.2">
      <c r="B90" s="2">
        <v>2023</v>
      </c>
      <c r="C90" s="6">
        <v>6822</v>
      </c>
      <c r="D90" s="6">
        <v>16519</v>
      </c>
      <c r="E90" s="6">
        <v>23754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spans="2:12" x14ac:dyDescent="0.2">
      <c r="B91" s="2">
        <v>2024</v>
      </c>
      <c r="C91" s="6">
        <v>6076</v>
      </c>
      <c r="D91" s="6">
        <v>14919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spans="2:12" x14ac:dyDescent="0.2">
      <c r="B92" s="2">
        <v>2025</v>
      </c>
      <c r="C92" s="6">
        <v>5174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8" spans="2:12" x14ac:dyDescent="0.2">
      <c r="B98" s="5" t="s">
        <v>6</v>
      </c>
    </row>
    <row r="100" spans="2:12" x14ac:dyDescent="0.2">
      <c r="B100" s="1" t="s">
        <v>0</v>
      </c>
      <c r="C100" s="3">
        <v>0</v>
      </c>
      <c r="D100" s="3">
        <v>1</v>
      </c>
      <c r="E100" s="3">
        <v>2</v>
      </c>
      <c r="F100" s="3">
        <v>3</v>
      </c>
      <c r="G100" s="3">
        <v>4</v>
      </c>
      <c r="H100" s="3">
        <v>5</v>
      </c>
      <c r="I100" s="3">
        <v>6</v>
      </c>
      <c r="J100" s="3">
        <v>7</v>
      </c>
      <c r="K100" s="3">
        <v>8</v>
      </c>
      <c r="L100" s="3">
        <v>9</v>
      </c>
    </row>
    <row r="101" spans="2:12" x14ac:dyDescent="0.2">
      <c r="B101" s="2">
        <v>2016</v>
      </c>
      <c r="C101" s="6">
        <v>174089</v>
      </c>
      <c r="D101" s="6">
        <v>259885</v>
      </c>
      <c r="E101" s="6">
        <v>293895</v>
      </c>
      <c r="F101" s="6">
        <v>320820</v>
      </c>
      <c r="G101" s="6">
        <v>333284</v>
      </c>
      <c r="H101" s="6">
        <v>338700</v>
      </c>
      <c r="I101" s="6">
        <v>343292</v>
      </c>
      <c r="J101" s="6">
        <v>345449</v>
      </c>
      <c r="K101" s="6">
        <v>346322</v>
      </c>
      <c r="L101" s="6">
        <v>347698</v>
      </c>
    </row>
    <row r="102" spans="2:12" x14ac:dyDescent="0.2">
      <c r="B102" s="2">
        <v>2017</v>
      </c>
      <c r="C102" s="6">
        <v>180299</v>
      </c>
      <c r="D102" s="6">
        <v>249649</v>
      </c>
      <c r="E102" s="6">
        <v>278918</v>
      </c>
      <c r="F102" s="6">
        <v>300025</v>
      </c>
      <c r="G102" s="6">
        <v>318357</v>
      </c>
      <c r="H102" s="6">
        <v>328297</v>
      </c>
      <c r="I102" s="6">
        <v>336365</v>
      </c>
      <c r="J102" s="6">
        <v>338625</v>
      </c>
      <c r="K102" s="6">
        <v>341340</v>
      </c>
      <c r="L102" s="6">
        <v>0</v>
      </c>
    </row>
    <row r="103" spans="2:12" x14ac:dyDescent="0.2">
      <c r="B103" s="2">
        <v>2018</v>
      </c>
      <c r="C103" s="6">
        <v>170019</v>
      </c>
      <c r="D103" s="6">
        <v>264396</v>
      </c>
      <c r="E103" s="6">
        <v>294824</v>
      </c>
      <c r="F103" s="6">
        <v>315563</v>
      </c>
      <c r="G103" s="6">
        <v>338250</v>
      </c>
      <c r="H103" s="6">
        <v>348173</v>
      </c>
      <c r="I103" s="6">
        <v>357110</v>
      </c>
      <c r="J103" s="6">
        <v>361950</v>
      </c>
      <c r="K103" s="6">
        <v>0</v>
      </c>
      <c r="L103" s="6">
        <v>0</v>
      </c>
    </row>
    <row r="104" spans="2:12" x14ac:dyDescent="0.2">
      <c r="B104" s="2">
        <v>2019</v>
      </c>
      <c r="C104" s="6">
        <v>143980</v>
      </c>
      <c r="D104" s="6">
        <v>231370</v>
      </c>
      <c r="E104" s="6">
        <v>270329</v>
      </c>
      <c r="F104" s="6">
        <v>296800</v>
      </c>
      <c r="G104" s="6">
        <v>315520</v>
      </c>
      <c r="H104" s="6">
        <v>332566</v>
      </c>
      <c r="I104" s="6">
        <v>340282</v>
      </c>
      <c r="J104" s="6">
        <v>0</v>
      </c>
      <c r="K104" s="6">
        <v>0</v>
      </c>
      <c r="L104" s="6">
        <v>0</v>
      </c>
    </row>
    <row r="105" spans="2:12" x14ac:dyDescent="0.2">
      <c r="B105" s="2">
        <v>2020</v>
      </c>
      <c r="C105" s="6">
        <v>164109</v>
      </c>
      <c r="D105" s="6">
        <v>248945</v>
      </c>
      <c r="E105" s="6">
        <v>286743</v>
      </c>
      <c r="F105" s="6">
        <v>306890</v>
      </c>
      <c r="G105" s="6">
        <v>324316</v>
      </c>
      <c r="H105" s="6">
        <v>335149</v>
      </c>
      <c r="I105" s="6">
        <v>0</v>
      </c>
      <c r="J105" s="6">
        <v>0</v>
      </c>
      <c r="K105" s="6">
        <v>0</v>
      </c>
      <c r="L105" s="6">
        <v>0</v>
      </c>
    </row>
    <row r="106" spans="2:12" x14ac:dyDescent="0.2">
      <c r="B106" s="2">
        <v>2021</v>
      </c>
      <c r="C106" s="6">
        <v>175750</v>
      </c>
      <c r="D106" s="6">
        <v>259271</v>
      </c>
      <c r="E106" s="6">
        <v>292438</v>
      </c>
      <c r="F106" s="6">
        <v>317196</v>
      </c>
      <c r="G106" s="6">
        <v>335810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spans="2:12" x14ac:dyDescent="0.2">
      <c r="B107" s="2">
        <v>2022</v>
      </c>
      <c r="C107" s="6">
        <v>148268</v>
      </c>
      <c r="D107" s="6">
        <v>259425</v>
      </c>
      <c r="E107" s="6">
        <v>301497</v>
      </c>
      <c r="F107" s="6">
        <v>328370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spans="2:12" x14ac:dyDescent="0.2">
      <c r="B108" s="2">
        <v>2023</v>
      </c>
      <c r="C108" s="6">
        <v>180694</v>
      </c>
      <c r="D108" s="6">
        <v>280207</v>
      </c>
      <c r="E108" s="6">
        <v>319819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spans="2:12" x14ac:dyDescent="0.2">
      <c r="B109" s="2">
        <v>2024</v>
      </c>
      <c r="C109" s="6">
        <v>139729</v>
      </c>
      <c r="D109" s="6">
        <v>215589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spans="2:12" x14ac:dyDescent="0.2">
      <c r="B110" s="2">
        <v>2025</v>
      </c>
      <c r="C110" s="6">
        <v>119207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2517-53CD-AF4F-86E4-D0F3F70ACD2B}">
  <dimension ref="C8:F110"/>
  <sheetViews>
    <sheetView topLeftCell="A79" workbookViewId="0">
      <selection activeCell="E12" sqref="E12"/>
    </sheetView>
  </sheetViews>
  <sheetFormatPr baseColWidth="10" defaultRowHeight="16" x14ac:dyDescent="0.2"/>
  <cols>
    <col min="3" max="3" width="36.1640625" bestFit="1" customWidth="1"/>
    <col min="5" max="5" width="35" bestFit="1" customWidth="1"/>
  </cols>
  <sheetData>
    <row r="8" spans="3:5" x14ac:dyDescent="0.2">
      <c r="C8" s="8" t="s">
        <v>8</v>
      </c>
      <c r="E8" s="8" t="s">
        <v>19</v>
      </c>
    </row>
    <row r="9" spans="3:5" x14ac:dyDescent="0.2">
      <c r="C9" s="8" t="s">
        <v>9</v>
      </c>
    </row>
    <row r="10" spans="3:5" x14ac:dyDescent="0.2">
      <c r="C10" s="8" t="s">
        <v>10</v>
      </c>
    </row>
    <row r="11" spans="3:5" x14ac:dyDescent="0.2">
      <c r="C11" s="8" t="s">
        <v>11</v>
      </c>
    </row>
    <row r="12" spans="3:5" x14ac:dyDescent="0.2">
      <c r="C12" s="8" t="s">
        <v>12</v>
      </c>
      <c r="E12" s="7" t="s">
        <v>7</v>
      </c>
    </row>
    <row r="13" spans="3:5" x14ac:dyDescent="0.2">
      <c r="C13" s="8" t="s">
        <v>13</v>
      </c>
    </row>
    <row r="14" spans="3:5" x14ac:dyDescent="0.2">
      <c r="C14" s="8" t="s">
        <v>14</v>
      </c>
    </row>
    <row r="15" spans="3:5" x14ac:dyDescent="0.2">
      <c r="C15" s="8" t="s">
        <v>15</v>
      </c>
    </row>
    <row r="16" spans="3:5" x14ac:dyDescent="0.2">
      <c r="C16" s="8" t="s">
        <v>16</v>
      </c>
    </row>
    <row r="17" spans="3:6" x14ac:dyDescent="0.2">
      <c r="C17" s="8" t="s">
        <v>17</v>
      </c>
    </row>
    <row r="18" spans="3:6" x14ac:dyDescent="0.2">
      <c r="C18" s="8" t="s">
        <v>18</v>
      </c>
    </row>
    <row r="28" spans="3:6" x14ac:dyDescent="0.2">
      <c r="C28" s="8" t="s">
        <v>8</v>
      </c>
      <c r="E28" s="8" t="s">
        <v>19</v>
      </c>
    </row>
    <row r="29" spans="3:6" x14ac:dyDescent="0.2">
      <c r="C29" s="8" t="s">
        <v>9</v>
      </c>
      <c r="D29">
        <f>SUM('loss development'!D29:D37)/SUM('loss development'!C29:C37)</f>
        <v>1.3251557344240787</v>
      </c>
      <c r="E29" s="9" t="s">
        <v>20</v>
      </c>
      <c r="F29">
        <f>PRODUCT(D29:D37)</f>
        <v>1.4124568693549366</v>
      </c>
    </row>
    <row r="30" spans="3:6" x14ac:dyDescent="0.2">
      <c r="C30" s="8" t="s">
        <v>10</v>
      </c>
      <c r="D30">
        <f>SUM('loss development'!E29:E36)/SUM('loss development'!D29:D36)</f>
        <v>1.0303451981084892</v>
      </c>
      <c r="E30" t="s">
        <v>21</v>
      </c>
      <c r="F30">
        <f>PRODUCT(D30:D37)</f>
        <v>1.0658799057823944</v>
      </c>
    </row>
    <row r="31" spans="3:6" x14ac:dyDescent="0.2">
      <c r="C31" s="8" t="s">
        <v>11</v>
      </c>
      <c r="D31">
        <f>SUM('loss development'!F29:F35)/SUM('loss development'!E29:E35)</f>
        <v>1.0112078812778398</v>
      </c>
      <c r="E31" t="s">
        <v>22</v>
      </c>
      <c r="F31">
        <f>PRODUCT(D31:D37)</f>
        <v>1.0344881576962166</v>
      </c>
    </row>
    <row r="32" spans="3:6" x14ac:dyDescent="0.2">
      <c r="C32" s="8" t="s">
        <v>12</v>
      </c>
      <c r="D32">
        <f>SUM('loss development'!G29:G34)/SUM('loss development'!F29:F34)</f>
        <v>1.0071720861985414</v>
      </c>
      <c r="E32" t="s">
        <v>23</v>
      </c>
      <c r="F32">
        <f>PRODUCT(D32:D37)</f>
        <v>1.0230222458204716</v>
      </c>
    </row>
    <row r="33" spans="3:6" x14ac:dyDescent="0.2">
      <c r="C33" s="8" t="s">
        <v>13</v>
      </c>
      <c r="D33">
        <f>SUM('loss development'!H29:H33)/SUM('loss development'!G29:G33)</f>
        <v>1.0054053546346611</v>
      </c>
      <c r="E33" t="s">
        <v>24</v>
      </c>
      <c r="F33">
        <f>PRODUCT(D33:D37)</f>
        <v>1.0157372904185173</v>
      </c>
    </row>
    <row r="34" spans="3:6" x14ac:dyDescent="0.2">
      <c r="C34" s="8" t="s">
        <v>14</v>
      </c>
      <c r="D34">
        <f>SUM('loss development'!I29:I32)/SUM('loss development'!H29:H32)</f>
        <v>1.0054936928398768</v>
      </c>
      <c r="E34" t="s">
        <v>25</v>
      </c>
      <c r="F34">
        <f>PRODUCT(D34:D37)</f>
        <v>1.0102763882609422</v>
      </c>
    </row>
    <row r="35" spans="3:6" x14ac:dyDescent="0.2">
      <c r="C35" s="8" t="s">
        <v>15</v>
      </c>
      <c r="D35">
        <f>SUM('loss development'!J29:J31)/SUM('loss development'!I29:I31)</f>
        <v>1.0021186011816023</v>
      </c>
      <c r="E35" t="s">
        <v>26</v>
      </c>
      <c r="F35">
        <f>PRODUCT(D35:D37)</f>
        <v>1.0047565643177307</v>
      </c>
    </row>
    <row r="36" spans="3:6" x14ac:dyDescent="0.2">
      <c r="C36" s="8" t="s">
        <v>16</v>
      </c>
      <c r="D36">
        <f>SUM('loss development'!K29:K30)/SUM('loss development'!J29:J30)</f>
        <v>1.0024993523386081</v>
      </c>
      <c r="E36" t="s">
        <v>27</v>
      </c>
      <c r="F36">
        <f>PRODUCT(D36:D37)</f>
        <v>1.0026323861597</v>
      </c>
    </row>
    <row r="37" spans="3:6" x14ac:dyDescent="0.2">
      <c r="C37" s="8" t="s">
        <v>17</v>
      </c>
      <c r="D37">
        <f>SUM('loss development'!L29)/SUM('loss development'!K29)</f>
        <v>1.0001327021516588</v>
      </c>
      <c r="E37" t="s">
        <v>28</v>
      </c>
      <c r="F37">
        <f>PRODUCT(D37)</f>
        <v>1.0001327021516588</v>
      </c>
    </row>
    <row r="38" spans="3:6" x14ac:dyDescent="0.2">
      <c r="C38" s="8" t="s">
        <v>18</v>
      </c>
      <c r="D38">
        <v>1</v>
      </c>
      <c r="E38" t="s">
        <v>29</v>
      </c>
      <c r="F38">
        <v>1</v>
      </c>
    </row>
    <row r="46" spans="3:6" x14ac:dyDescent="0.2">
      <c r="C46" s="8" t="s">
        <v>8</v>
      </c>
      <c r="E46" s="8" t="s">
        <v>19</v>
      </c>
    </row>
    <row r="47" spans="3:6" x14ac:dyDescent="0.2">
      <c r="C47" s="8" t="s">
        <v>9</v>
      </c>
      <c r="D47">
        <f>SUM('loss development'!D47:D55)/SUM('loss development'!C47:C55)</f>
        <v>1.964838201888973</v>
      </c>
      <c r="E47" s="9" t="s">
        <v>20</v>
      </c>
      <c r="F47">
        <f>PRODUCT(D47:D55)</f>
        <v>2.8458526480806312</v>
      </c>
    </row>
    <row r="48" spans="3:6" x14ac:dyDescent="0.2">
      <c r="C48" s="8" t="s">
        <v>10</v>
      </c>
      <c r="D48">
        <f>SUM('loss development'!E47:E54)/SUM('loss development'!D47:D54)</f>
        <v>1.2353990722427</v>
      </c>
      <c r="E48" t="s">
        <v>21</v>
      </c>
      <c r="F48">
        <f>PRODUCT(D48:D55)</f>
        <v>1.4483903281932633</v>
      </c>
    </row>
    <row r="49" spans="3:6" x14ac:dyDescent="0.2">
      <c r="C49" s="8" t="s">
        <v>11</v>
      </c>
      <c r="D49">
        <f>SUM('loss development'!F47:F53)/SUM('loss development'!E47:E53)</f>
        <v>1.0901137682418742</v>
      </c>
      <c r="E49" t="s">
        <v>22</v>
      </c>
      <c r="F49">
        <f>PRODUCT(D49:D55)</f>
        <v>1.1724068446675344</v>
      </c>
    </row>
    <row r="50" spans="3:6" x14ac:dyDescent="0.2">
      <c r="C50" s="8" t="s">
        <v>12</v>
      </c>
      <c r="D50">
        <f>SUM('loss development'!G47:G52)/SUM('loss development'!F47:F52)</f>
        <v>1.0396746634295437</v>
      </c>
      <c r="E50" t="s">
        <v>23</v>
      </c>
      <c r="F50">
        <f>PRODUCT(D50:D55)</f>
        <v>1.0754903559821849</v>
      </c>
    </row>
    <row r="51" spans="3:6" x14ac:dyDescent="0.2">
      <c r="C51" s="8" t="s">
        <v>13</v>
      </c>
      <c r="D51">
        <f>SUM('loss development'!H47:H51)/SUM('loss development'!G47:G51)</f>
        <v>1.0169932362855785</v>
      </c>
      <c r="E51" t="s">
        <v>24</v>
      </c>
      <c r="F51">
        <f>PRODUCT(D51:D55)</f>
        <v>1.0344489423590424</v>
      </c>
    </row>
    <row r="52" spans="3:6" x14ac:dyDescent="0.2">
      <c r="C52" s="8" t="s">
        <v>14</v>
      </c>
      <c r="D52">
        <f>SUM('loss development'!I47:I50)/SUM('loss development'!H47:H50)</f>
        <v>1.0085697354845953</v>
      </c>
      <c r="E52" t="s">
        <v>25</v>
      </c>
      <c r="F52">
        <f>PRODUCT(D52:D55)</f>
        <v>1.0171640335949712</v>
      </c>
    </row>
    <row r="53" spans="3:6" x14ac:dyDescent="0.2">
      <c r="C53" s="8" t="s">
        <v>15</v>
      </c>
      <c r="D53">
        <f>SUM('loss development'!J47:J49)/SUM('loss development'!I47:I49)</f>
        <v>1.0060677726290188</v>
      </c>
      <c r="E53" t="s">
        <v>26</v>
      </c>
      <c r="F53">
        <f>PRODUCT(D53:D55)</f>
        <v>1.0085212730543083</v>
      </c>
    </row>
    <row r="54" spans="3:6" x14ac:dyDescent="0.2">
      <c r="C54" s="8" t="s">
        <v>16</v>
      </c>
      <c r="D54">
        <f>SUM('loss development'!K47:K48)/SUM('loss development'!J47:J48)</f>
        <v>1.0018787027539615</v>
      </c>
      <c r="E54" t="s">
        <v>27</v>
      </c>
      <c r="F54">
        <f>PRODUCT(D54:D55)</f>
        <v>1.0024387029303981</v>
      </c>
    </row>
    <row r="55" spans="3:6" x14ac:dyDescent="0.2">
      <c r="C55" s="8" t="s">
        <v>17</v>
      </c>
      <c r="D55">
        <f>SUM('loss development'!L47)/SUM('loss development'!K47)</f>
        <v>1.0005589500753906</v>
      </c>
      <c r="E55" t="s">
        <v>28</v>
      </c>
      <c r="F55">
        <f>PRODUCT(D55)</f>
        <v>1.0005589500753906</v>
      </c>
    </row>
    <row r="56" spans="3:6" x14ac:dyDescent="0.2">
      <c r="C56" s="8" t="s">
        <v>18</v>
      </c>
      <c r="D56">
        <v>1</v>
      </c>
      <c r="E56" t="s">
        <v>29</v>
      </c>
      <c r="F56">
        <v>1</v>
      </c>
    </row>
    <row r="64" spans="3:6" x14ac:dyDescent="0.2">
      <c r="C64" s="8" t="s">
        <v>8</v>
      </c>
      <c r="E64" s="8" t="s">
        <v>19</v>
      </c>
    </row>
    <row r="65" spans="3:6" x14ac:dyDescent="0.2">
      <c r="C65" s="8" t="s">
        <v>9</v>
      </c>
      <c r="D65">
        <f>SUM('loss development'!D65:D73)/SUM('loss development'!C65:C73)</f>
        <v>2.6816514918132532</v>
      </c>
      <c r="E65" s="9" t="s">
        <v>20</v>
      </c>
      <c r="F65">
        <f>PRODUCT(D65:D73)</f>
        <v>5.9479382227271111</v>
      </c>
    </row>
    <row r="66" spans="3:6" x14ac:dyDescent="0.2">
      <c r="C66" s="8" t="s">
        <v>10</v>
      </c>
      <c r="D66">
        <f>SUM('loss development'!E65:E72)/SUM('loss development'!D65:D72)</f>
        <v>1.5616028623884228</v>
      </c>
      <c r="E66" t="s">
        <v>21</v>
      </c>
      <c r="F66">
        <f>PRODUCT(D66:D73)</f>
        <v>2.2180131314174942</v>
      </c>
    </row>
    <row r="67" spans="3:6" x14ac:dyDescent="0.2">
      <c r="C67" s="8" t="s">
        <v>11</v>
      </c>
      <c r="D67">
        <f>SUM('loss development'!F65:F71)/SUM('loss development'!E65:E71)</f>
        <v>1.1984319859470109</v>
      </c>
      <c r="E67" t="s">
        <v>22</v>
      </c>
      <c r="F67">
        <f>PRODUCT(D67:D73)</f>
        <v>1.4203439202366173</v>
      </c>
    </row>
    <row r="68" spans="3:6" x14ac:dyDescent="0.2">
      <c r="C68" s="8" t="s">
        <v>12</v>
      </c>
      <c r="D68">
        <f>SUM('loss development'!G65:G70)/SUM('loss development'!F65:F70)</f>
        <v>1.102768081982674</v>
      </c>
      <c r="E68" t="s">
        <v>23</v>
      </c>
      <c r="F68">
        <f>PRODUCT(D68:D73)</f>
        <v>1.1851685676715726</v>
      </c>
    </row>
    <row r="69" spans="3:6" x14ac:dyDescent="0.2">
      <c r="C69" s="8" t="s">
        <v>13</v>
      </c>
      <c r="D69">
        <f>SUM('loss development'!H65:H69)/SUM('loss development'!G65:G69)</f>
        <v>1.0371185863166923</v>
      </c>
      <c r="E69" t="s">
        <v>24</v>
      </c>
      <c r="F69">
        <f>PRODUCT(D69:D73)</f>
        <v>1.0747215004089983</v>
      </c>
    </row>
    <row r="70" spans="3:6" x14ac:dyDescent="0.2">
      <c r="C70" s="8" t="s">
        <v>14</v>
      </c>
      <c r="D70">
        <f>SUM('loss development'!I65:I68)/SUM('loss development'!H65:H68)</f>
        <v>1.0233494969050718</v>
      </c>
      <c r="E70" t="s">
        <v>25</v>
      </c>
      <c r="F70">
        <f>PRODUCT(D70:D73)</f>
        <v>1.036257101732071</v>
      </c>
    </row>
    <row r="71" spans="3:6" x14ac:dyDescent="0.2">
      <c r="C71" s="8" t="s">
        <v>15</v>
      </c>
      <c r="D71">
        <f>SUM('loss development'!J65:J67)/SUM('loss development'!I65:I67)</f>
        <v>1.0086771037697342</v>
      </c>
      <c r="E71" t="s">
        <v>26</v>
      </c>
      <c r="F71">
        <f>PRODUCT(D71:D73)</f>
        <v>1.0126130953951078</v>
      </c>
    </row>
    <row r="72" spans="3:6" x14ac:dyDescent="0.2">
      <c r="C72" s="8" t="s">
        <v>16</v>
      </c>
      <c r="D72">
        <f>SUM('loss development'!K65:K66)/SUM('loss development'!J65:J66)</f>
        <v>1.0036605884225365</v>
      </c>
      <c r="E72" t="s">
        <v>27</v>
      </c>
      <c r="F72">
        <f>PRODUCT(D72:D73)</f>
        <v>1.003902132417464</v>
      </c>
    </row>
    <row r="73" spans="3:6" x14ac:dyDescent="0.2">
      <c r="C73" s="8" t="s">
        <v>17</v>
      </c>
      <c r="D73">
        <f>SUM('loss development'!L65)/SUM('loss development'!K65)</f>
        <v>1.0002406630266385</v>
      </c>
      <c r="E73" t="s">
        <v>28</v>
      </c>
      <c r="F73">
        <f>PRODUCT(D73)</f>
        <v>1.0002406630266385</v>
      </c>
    </row>
    <row r="74" spans="3:6" x14ac:dyDescent="0.2">
      <c r="C74" s="8" t="s">
        <v>18</v>
      </c>
      <c r="D74">
        <v>1</v>
      </c>
      <c r="E74" t="s">
        <v>29</v>
      </c>
      <c r="F74">
        <v>1</v>
      </c>
    </row>
    <row r="82" spans="3:6" x14ac:dyDescent="0.2">
      <c r="C82" s="8" t="s">
        <v>8</v>
      </c>
      <c r="E82" s="8" t="s">
        <v>19</v>
      </c>
    </row>
    <row r="83" spans="3:6" x14ac:dyDescent="0.2">
      <c r="C83" s="8" t="s">
        <v>9</v>
      </c>
      <c r="D83">
        <f>SUM('loss development'!D83:D91)/SUM('loss development'!C83:C91)</f>
        <v>2.5321767001114828</v>
      </c>
      <c r="E83" s="9" t="s">
        <v>20</v>
      </c>
      <c r="F83">
        <f>PRODUCT(D83:D91)</f>
        <v>5.5504187592748435</v>
      </c>
    </row>
    <row r="84" spans="3:6" x14ac:dyDescent="0.2">
      <c r="C84" s="8" t="s">
        <v>10</v>
      </c>
      <c r="D84">
        <f>SUM('loss development'!E83:E90)/SUM('loss development'!D83:D90)</f>
        <v>1.4275136399064692</v>
      </c>
      <c r="E84" t="s">
        <v>21</v>
      </c>
      <c r="F84">
        <f>PRODUCT(D84:D91)</f>
        <v>2.1919555452154977</v>
      </c>
    </row>
    <row r="85" spans="3:6" x14ac:dyDescent="0.2">
      <c r="C85" s="8" t="s">
        <v>11</v>
      </c>
      <c r="D85">
        <f>SUM('loss development'!F83:F89)/SUM('loss development'!E83:E89)</f>
        <v>1.2014220331154561</v>
      </c>
      <c r="E85" t="s">
        <v>22</v>
      </c>
      <c r="F85">
        <f>PRODUCT(D85:D91)</f>
        <v>1.5355058501291201</v>
      </c>
    </row>
    <row r="86" spans="3:6" x14ac:dyDescent="0.2">
      <c r="C86" s="8" t="s">
        <v>12</v>
      </c>
      <c r="D86">
        <f>SUM('loss development'!G83:G88)/SUM('loss development'!F83:F88)</f>
        <v>1.1036861459394798</v>
      </c>
      <c r="E86" t="s">
        <v>23</v>
      </c>
      <c r="F86">
        <f>PRODUCT(D86:D91)</f>
        <v>1.2780736558887118</v>
      </c>
    </row>
    <row r="87" spans="3:6" x14ac:dyDescent="0.2">
      <c r="C87" s="8" t="s">
        <v>13</v>
      </c>
      <c r="D87">
        <f>SUM('loss development'!H83:H87)/SUM('loss development'!G83:G87)</f>
        <v>1.0614005638311081</v>
      </c>
      <c r="E87" t="s">
        <v>24</v>
      </c>
      <c r="F87">
        <f>PRODUCT(D87:D91)</f>
        <v>1.1580046198738774</v>
      </c>
    </row>
    <row r="88" spans="3:6" x14ac:dyDescent="0.2">
      <c r="C88" s="8" t="s">
        <v>14</v>
      </c>
      <c r="D88">
        <f>SUM('loss development'!I83:I86)/SUM('loss development'!H83:H86)</f>
        <v>1.032181043239677</v>
      </c>
      <c r="E88" t="s">
        <v>25</v>
      </c>
      <c r="F88">
        <f>PRODUCT(D88:D91)</f>
        <v>1.0910156441730898</v>
      </c>
    </row>
    <row r="89" spans="3:6" x14ac:dyDescent="0.2">
      <c r="C89" s="8" t="s">
        <v>15</v>
      </c>
      <c r="D89">
        <f>SUM('loss development'!J83:J85)/SUM('loss development'!I83:I85)</f>
        <v>1.0267427923341625</v>
      </c>
      <c r="E89" t="s">
        <v>26</v>
      </c>
      <c r="F89">
        <f>PRODUCT(D89:D91)</f>
        <v>1.0570002726931995</v>
      </c>
    </row>
    <row r="90" spans="3:6" x14ac:dyDescent="0.2">
      <c r="C90" s="8" t="s">
        <v>16</v>
      </c>
      <c r="D90">
        <f>SUM('loss development'!K83:K84)/SUM('loss development'!J83:J84)</f>
        <v>1.0169293636894337</v>
      </c>
      <c r="E90" t="s">
        <v>27</v>
      </c>
      <c r="F90">
        <f>PRODUCT(D90:D91)</f>
        <v>1.0294693866710773</v>
      </c>
    </row>
    <row r="91" spans="3:6" x14ac:dyDescent="0.2">
      <c r="C91" s="8" t="s">
        <v>17</v>
      </c>
      <c r="D91">
        <f>SUM('loss development'!L83)/SUM('loss development'!K83)</f>
        <v>1.0123312625531318</v>
      </c>
      <c r="E91" t="s">
        <v>28</v>
      </c>
      <c r="F91">
        <f>PRODUCT(D91)</f>
        <v>1.0123312625531318</v>
      </c>
    </row>
    <row r="92" spans="3:6" x14ac:dyDescent="0.2">
      <c r="C92" s="8" t="s">
        <v>18</v>
      </c>
      <c r="D92">
        <v>1</v>
      </c>
      <c r="E92" t="s">
        <v>29</v>
      </c>
      <c r="F92">
        <v>1</v>
      </c>
    </row>
    <row r="100" spans="3:6" x14ac:dyDescent="0.2">
      <c r="C100" s="8" t="s">
        <v>8</v>
      </c>
      <c r="E100" s="8" t="s">
        <v>19</v>
      </c>
    </row>
    <row r="101" spans="3:6" x14ac:dyDescent="0.2">
      <c r="C101" s="8" t="s">
        <v>9</v>
      </c>
      <c r="D101">
        <f>SUM('loss development'!D101:D109)/SUM('loss development'!C101:C109)</f>
        <v>1.536109529384124</v>
      </c>
      <c r="E101" s="9" t="s">
        <v>20</v>
      </c>
      <c r="F101">
        <f>PRODUCT(D101:D109)</f>
        <v>2.1537502580990617</v>
      </c>
    </row>
    <row r="102" spans="3:6" x14ac:dyDescent="0.2">
      <c r="C102" s="8" t="s">
        <v>10</v>
      </c>
      <c r="D102">
        <f>SUM('loss development'!E101:E108)/SUM('loss development'!D101:D108)</f>
        <v>1.1389646533031228</v>
      </c>
      <c r="E102" t="s">
        <v>21</v>
      </c>
      <c r="F102">
        <f>PRODUCT(D102:D109)</f>
        <v>1.4020811777416489</v>
      </c>
    </row>
    <row r="103" spans="3:6" x14ac:dyDescent="0.2">
      <c r="C103" s="8" t="s">
        <v>11</v>
      </c>
      <c r="D103">
        <f>SUM('loss development'!F101:F107)/SUM('loss development'!E101:E107)</f>
        <v>1.0827387097477317</v>
      </c>
      <c r="E103" t="s">
        <v>22</v>
      </c>
      <c r="F103">
        <f>PRODUCT(D103:D109)</f>
        <v>1.2310137752523385</v>
      </c>
    </row>
    <row r="104" spans="3:6" x14ac:dyDescent="0.2">
      <c r="C104" s="8" t="s">
        <v>12</v>
      </c>
      <c r="D104">
        <f>SUM('loss development'!G101:G106)/SUM('loss development'!F101:F106)</f>
        <v>1.0582799492164408</v>
      </c>
      <c r="E104" t="s">
        <v>23</v>
      </c>
      <c r="F104">
        <f>PRODUCT(D104:D109)</f>
        <v>1.1369444577622556</v>
      </c>
    </row>
    <row r="105" spans="3:6" x14ac:dyDescent="0.2">
      <c r="C105" s="8" t="s">
        <v>13</v>
      </c>
      <c r="D105">
        <f>SUM('loss development'!H101:H105)/SUM('loss development'!G101:G105)</f>
        <v>1.0326177329086406</v>
      </c>
      <c r="E105" t="s">
        <v>24</v>
      </c>
      <c r="F105">
        <f>PRODUCT(D105:D109)</f>
        <v>1.0743324189445889</v>
      </c>
    </row>
    <row r="106" spans="3:6" x14ac:dyDescent="0.2">
      <c r="C106" s="8" t="s">
        <v>14</v>
      </c>
      <c r="D106">
        <f>SUM('loss development'!I101:I104)/SUM('loss development'!H101:H104)</f>
        <v>1.02174980856785</v>
      </c>
      <c r="E106" t="s">
        <v>25</v>
      </c>
      <c r="F106">
        <f>PRODUCT(D106:D109)</f>
        <v>1.0403970266116269</v>
      </c>
    </row>
    <row r="107" spans="3:6" x14ac:dyDescent="0.2">
      <c r="C107" s="8" t="s">
        <v>15</v>
      </c>
      <c r="D107">
        <f>SUM('loss development'!J101:J103)/SUM('loss development'!I101:I103)</f>
        <v>1.0089287178314896</v>
      </c>
      <c r="E107" t="s">
        <v>26</v>
      </c>
      <c r="F107">
        <f>PRODUCT(D107:D109)</f>
        <v>1.0182502779911593</v>
      </c>
    </row>
    <row r="108" spans="3:6" x14ac:dyDescent="0.2">
      <c r="C108" s="8" t="s">
        <v>16</v>
      </c>
      <c r="D108">
        <f>SUM('loss development'!K101:K102)/SUM('loss development'!J101:J102)</f>
        <v>1.005245046588527</v>
      </c>
      <c r="E108" t="s">
        <v>27</v>
      </c>
      <c r="F108">
        <f>PRODUCT(D108:D109)</f>
        <v>1.0092390671361844</v>
      </c>
    </row>
    <row r="109" spans="3:6" x14ac:dyDescent="0.2">
      <c r="C109" s="8" t="s">
        <v>17</v>
      </c>
      <c r="D109">
        <f>SUM('loss development'!L101)/SUM('loss development'!K101)</f>
        <v>1.0039731810280605</v>
      </c>
      <c r="E109" t="s">
        <v>28</v>
      </c>
      <c r="F109">
        <f>PRODUCT(D109)</f>
        <v>1.0039731810280605</v>
      </c>
    </row>
    <row r="110" spans="3:6" x14ac:dyDescent="0.2">
      <c r="C110" s="8" t="s">
        <v>18</v>
      </c>
      <c r="D110">
        <v>1</v>
      </c>
      <c r="E110" t="s">
        <v>29</v>
      </c>
      <c r="F1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ED00-4548-964E-9FDA-959EA9359581}">
  <dimension ref="C8:M111"/>
  <sheetViews>
    <sheetView topLeftCell="A89" workbookViewId="0">
      <selection activeCell="J111" sqref="J111"/>
    </sheetView>
  </sheetViews>
  <sheetFormatPr baseColWidth="10" defaultRowHeight="16" x14ac:dyDescent="0.2"/>
  <cols>
    <col min="4" max="4" width="24.6640625" bestFit="1" customWidth="1"/>
    <col min="5" max="5" width="20.5" bestFit="1" customWidth="1"/>
    <col min="6" max="6" width="29.83203125" bestFit="1" customWidth="1"/>
    <col min="7" max="7" width="32.33203125" style="12" bestFit="1" customWidth="1"/>
    <col min="8" max="8" width="32.5" bestFit="1" customWidth="1"/>
    <col min="9" max="9" width="15.83203125" bestFit="1" customWidth="1"/>
    <col min="10" max="10" width="17.83203125" bestFit="1" customWidth="1"/>
  </cols>
  <sheetData>
    <row r="8" spans="3:10" x14ac:dyDescent="0.2">
      <c r="C8" s="8" t="s">
        <v>30</v>
      </c>
      <c r="D8" s="8" t="s">
        <v>31</v>
      </c>
      <c r="E8" s="8" t="s">
        <v>32</v>
      </c>
      <c r="F8" s="8" t="s">
        <v>33</v>
      </c>
      <c r="G8" s="11" t="s">
        <v>34</v>
      </c>
      <c r="H8" s="8" t="s">
        <v>35</v>
      </c>
      <c r="I8" s="8" t="s">
        <v>36</v>
      </c>
      <c r="J8" s="8" t="s">
        <v>37</v>
      </c>
    </row>
    <row r="9" spans="3:10" x14ac:dyDescent="0.2">
      <c r="C9" s="8">
        <v>2016</v>
      </c>
    </row>
    <row r="10" spans="3:10" x14ac:dyDescent="0.2">
      <c r="C10" s="8">
        <v>2017</v>
      </c>
    </row>
    <row r="11" spans="3:10" x14ac:dyDescent="0.2">
      <c r="C11" s="8">
        <v>2018</v>
      </c>
      <c r="E11" s="7" t="s">
        <v>7</v>
      </c>
    </row>
    <row r="12" spans="3:10" x14ac:dyDescent="0.2">
      <c r="C12" s="8">
        <v>2019</v>
      </c>
    </row>
    <row r="13" spans="3:10" x14ac:dyDescent="0.2">
      <c r="C13" s="8">
        <v>2020</v>
      </c>
    </row>
    <row r="14" spans="3:10" x14ac:dyDescent="0.2">
      <c r="C14" s="8">
        <v>2021</v>
      </c>
    </row>
    <row r="15" spans="3:10" x14ac:dyDescent="0.2">
      <c r="C15" s="8">
        <v>2022</v>
      </c>
    </row>
    <row r="16" spans="3:10" x14ac:dyDescent="0.2">
      <c r="C16" s="8">
        <v>2023</v>
      </c>
    </row>
    <row r="17" spans="3:10" x14ac:dyDescent="0.2">
      <c r="C17" s="8">
        <v>2024</v>
      </c>
    </row>
    <row r="18" spans="3:10" x14ac:dyDescent="0.2">
      <c r="C18" s="8">
        <v>2025</v>
      </c>
    </row>
    <row r="28" spans="3:10" x14ac:dyDescent="0.2">
      <c r="C28" s="8" t="s">
        <v>30</v>
      </c>
      <c r="D28" s="8" t="s">
        <v>31</v>
      </c>
      <c r="E28" s="8" t="s">
        <v>32</v>
      </c>
      <c r="F28" s="8" t="s">
        <v>33</v>
      </c>
      <c r="G28" s="11" t="s">
        <v>34</v>
      </c>
      <c r="H28" s="8" t="s">
        <v>35</v>
      </c>
      <c r="I28" s="8" t="s">
        <v>36</v>
      </c>
      <c r="J28" s="8" t="s">
        <v>37</v>
      </c>
    </row>
    <row r="29" spans="3:10" x14ac:dyDescent="0.2">
      <c r="C29" s="8">
        <v>2016</v>
      </c>
      <c r="D29" s="10">
        <f>'loss development'!L29</f>
        <v>1220941</v>
      </c>
      <c r="E29">
        <v>9</v>
      </c>
      <c r="F29">
        <f>'year to ultimate LDF'!F38</f>
        <v>1</v>
      </c>
      <c r="G29" s="12">
        <f t="shared" ref="G29:G38" si="0">PRODUCT(D29,F29)</f>
        <v>1220941</v>
      </c>
      <c r="H29" s="10">
        <f>G29-D29</f>
        <v>0</v>
      </c>
      <c r="I29" s="6">
        <v>2215241</v>
      </c>
      <c r="J29" s="12">
        <f>(G29/I29)*100</f>
        <v>55.115493077276923</v>
      </c>
    </row>
    <row r="30" spans="3:10" x14ac:dyDescent="0.2">
      <c r="C30" s="8">
        <v>2017</v>
      </c>
      <c r="D30" s="10">
        <f>'loss development'!K30</f>
        <v>1282910</v>
      </c>
      <c r="E30">
        <v>8</v>
      </c>
      <c r="F30">
        <f>'year to ultimate LDF'!F37</f>
        <v>1.0001327021516588</v>
      </c>
      <c r="G30" s="12">
        <f t="shared" si="0"/>
        <v>1283080.2449173846</v>
      </c>
      <c r="H30" s="12">
        <f t="shared" ref="H30:H39" si="1">G30-D30</f>
        <v>170.24491738458164</v>
      </c>
      <c r="I30" s="6">
        <v>2150139</v>
      </c>
      <c r="J30" s="12">
        <f t="shared" ref="J30:J39" si="2">(G30/I30)*100</f>
        <v>59.674292913964379</v>
      </c>
    </row>
    <row r="31" spans="3:10" x14ac:dyDescent="0.2">
      <c r="C31" s="8">
        <v>2018</v>
      </c>
      <c r="D31" s="10">
        <f>'loss development'!J31</f>
        <v>1166012</v>
      </c>
      <c r="E31">
        <v>7</v>
      </c>
      <c r="F31">
        <f>'year to ultimate LDF'!F36</f>
        <v>1.0026323861597</v>
      </c>
      <c r="G31" s="12">
        <f t="shared" si="0"/>
        <v>1169081.3938508441</v>
      </c>
      <c r="H31" s="12">
        <f t="shared" si="1"/>
        <v>3069.3938508441206</v>
      </c>
      <c r="I31" s="6">
        <v>2022139</v>
      </c>
      <c r="J31" s="12">
        <f t="shared" si="2"/>
        <v>57.814096550773421</v>
      </c>
    </row>
    <row r="32" spans="3:10" x14ac:dyDescent="0.2">
      <c r="C32" s="8">
        <v>2019</v>
      </c>
      <c r="D32" s="10">
        <f>'loss development'!I32</f>
        <v>1211887</v>
      </c>
      <c r="E32">
        <v>6</v>
      </c>
      <c r="F32">
        <f>'year to ultimate LDF'!F35</f>
        <v>1.0047565643177307</v>
      </c>
      <c r="G32" s="12">
        <f t="shared" si="0"/>
        <v>1217651.4184613219</v>
      </c>
      <c r="H32" s="12">
        <f t="shared" si="1"/>
        <v>5764.4184613218531</v>
      </c>
      <c r="I32" s="6">
        <v>2129940</v>
      </c>
      <c r="J32" s="12">
        <f t="shared" si="2"/>
        <v>57.168343636972018</v>
      </c>
    </row>
    <row r="33" spans="3:10" x14ac:dyDescent="0.2">
      <c r="C33" s="8">
        <v>2020</v>
      </c>
      <c r="D33" s="10">
        <f>'loss development'!H33</f>
        <v>1474497</v>
      </c>
      <c r="E33">
        <v>5</v>
      </c>
      <c r="F33">
        <f>'year to ultimate LDF'!F34</f>
        <v>1.0102763882609422</v>
      </c>
      <c r="G33" s="12">
        <f t="shared" si="0"/>
        <v>1489649.5036615946</v>
      </c>
      <c r="H33" s="12">
        <f t="shared" si="1"/>
        <v>15152.503661594586</v>
      </c>
      <c r="I33" s="6">
        <v>2196541</v>
      </c>
      <c r="J33" s="12">
        <f t="shared" si="2"/>
        <v>67.817969419263946</v>
      </c>
    </row>
    <row r="34" spans="3:10" x14ac:dyDescent="0.2">
      <c r="C34" s="8">
        <v>2021</v>
      </c>
      <c r="D34" s="10">
        <f>'loss development'!G34</f>
        <v>1684873</v>
      </c>
      <c r="E34">
        <v>4</v>
      </c>
      <c r="F34">
        <f>'year to ultimate LDF'!F33</f>
        <v>1.0157372904185173</v>
      </c>
      <c r="G34" s="12">
        <f t="shared" si="0"/>
        <v>1711388.3357193186</v>
      </c>
      <c r="H34" s="12">
        <f t="shared" si="1"/>
        <v>26515.335719318595</v>
      </c>
      <c r="I34" s="6">
        <v>2430326</v>
      </c>
      <c r="J34" s="12">
        <f t="shared" si="2"/>
        <v>70.418056496096355</v>
      </c>
    </row>
    <row r="35" spans="3:10" x14ac:dyDescent="0.2">
      <c r="C35" s="8">
        <v>2022</v>
      </c>
      <c r="D35" s="10">
        <f>'loss development'!F35</f>
        <v>1772310</v>
      </c>
      <c r="E35">
        <v>3</v>
      </c>
      <c r="F35">
        <f>'year to ultimate LDF'!F32</f>
        <v>1.0230222458204716</v>
      </c>
      <c r="G35" s="12">
        <f t="shared" si="0"/>
        <v>1813112.55649008</v>
      </c>
      <c r="H35" s="12">
        <f t="shared" si="1"/>
        <v>40802.556490079965</v>
      </c>
      <c r="I35" s="6">
        <v>2541844</v>
      </c>
      <c r="J35" s="12">
        <f t="shared" si="2"/>
        <v>71.330599222063981</v>
      </c>
    </row>
    <row r="36" spans="3:10" x14ac:dyDescent="0.2">
      <c r="C36" s="8">
        <v>2023</v>
      </c>
      <c r="D36" s="10">
        <f>'loss development'!E36</f>
        <v>1943539</v>
      </c>
      <c r="E36">
        <v>2</v>
      </c>
      <c r="F36">
        <f>'year to ultimate LDF'!F31</f>
        <v>1.0344881576962166</v>
      </c>
      <c r="G36" s="12">
        <f t="shared" si="0"/>
        <v>2010568.0795207471</v>
      </c>
      <c r="H36" s="12">
        <f t="shared" si="1"/>
        <v>67029.079520747066</v>
      </c>
      <c r="I36" s="6">
        <v>2747077</v>
      </c>
      <c r="J36" s="12">
        <f t="shared" si="2"/>
        <v>73.189360164303636</v>
      </c>
    </row>
    <row r="37" spans="3:10" x14ac:dyDescent="0.2">
      <c r="C37" s="8">
        <v>2024</v>
      </c>
      <c r="D37" s="10">
        <f>'loss development'!D37</f>
        <v>1517601</v>
      </c>
      <c r="E37">
        <v>1</v>
      </c>
      <c r="F37">
        <f>'year to ultimate LDF'!F30</f>
        <v>1.0658799057823944</v>
      </c>
      <c r="G37" s="12">
        <f t="shared" si="0"/>
        <v>1617580.4108952675</v>
      </c>
      <c r="H37" s="12">
        <f t="shared" si="1"/>
        <v>99979.410895267501</v>
      </c>
      <c r="I37" s="6">
        <v>3080025</v>
      </c>
      <c r="J37" s="12">
        <f t="shared" si="2"/>
        <v>52.518418223724403</v>
      </c>
    </row>
    <row r="38" spans="3:10" x14ac:dyDescent="0.2">
      <c r="C38" s="8">
        <v>2025</v>
      </c>
      <c r="D38" s="10">
        <f>'loss development'!C38</f>
        <v>983692</v>
      </c>
      <c r="E38">
        <v>0</v>
      </c>
      <c r="F38">
        <f>'year to ultimate LDF'!F29</f>
        <v>1.4124568693549366</v>
      </c>
      <c r="G38" s="12">
        <f t="shared" si="0"/>
        <v>1389422.5227294962</v>
      </c>
      <c r="H38" s="12">
        <f t="shared" si="1"/>
        <v>405730.52272949624</v>
      </c>
      <c r="I38" s="6">
        <v>3436250</v>
      </c>
      <c r="J38" s="12">
        <f>(G38/I38)*100</f>
        <v>40.43426766764631</v>
      </c>
    </row>
    <row r="39" spans="3:10" x14ac:dyDescent="0.2">
      <c r="F39" s="8" t="s">
        <v>38</v>
      </c>
      <c r="G39" s="11">
        <f>SUM(G29:G38)</f>
        <v>14922475.466246054</v>
      </c>
      <c r="H39" s="11">
        <f>SUM(H29:H38)</f>
        <v>664213.46624605451</v>
      </c>
      <c r="I39" s="13">
        <f>SUM(I29:I38)</f>
        <v>24949522</v>
      </c>
      <c r="J39" s="11">
        <f t="shared" si="2"/>
        <v>59.810666778489995</v>
      </c>
    </row>
    <row r="46" spans="3:10" x14ac:dyDescent="0.2">
      <c r="C46" s="8" t="s">
        <v>30</v>
      </c>
      <c r="D46" s="8" t="s">
        <v>31</v>
      </c>
      <c r="E46" s="8" t="s">
        <v>32</v>
      </c>
      <c r="F46" s="8" t="s">
        <v>33</v>
      </c>
      <c r="G46" s="11" t="s">
        <v>34</v>
      </c>
      <c r="H46" s="8" t="s">
        <v>35</v>
      </c>
      <c r="I46" s="8" t="s">
        <v>36</v>
      </c>
      <c r="J46" s="8" t="s">
        <v>37</v>
      </c>
    </row>
    <row r="47" spans="3:10" x14ac:dyDescent="0.2">
      <c r="C47" s="8">
        <v>2016</v>
      </c>
      <c r="D47" s="10">
        <f>'loss development'!L47</f>
        <v>1775748</v>
      </c>
      <c r="E47">
        <v>9</v>
      </c>
      <c r="F47">
        <f>'year to ultimate LDF'!F56</f>
        <v>1</v>
      </c>
      <c r="G47" s="12">
        <f t="shared" ref="G47:G56" si="3">PRODUCT(D47,F47)</f>
        <v>1775748</v>
      </c>
      <c r="H47" s="10">
        <f>G47-D47</f>
        <v>0</v>
      </c>
      <c r="I47" s="6">
        <v>2508132</v>
      </c>
      <c r="J47" s="12">
        <f>(G47/I47)*100</f>
        <v>70.799622986350002</v>
      </c>
    </row>
    <row r="48" spans="3:10" x14ac:dyDescent="0.2">
      <c r="C48" s="8">
        <v>2017</v>
      </c>
      <c r="D48" s="10">
        <f>'loss development'!K48</f>
        <v>1589188</v>
      </c>
      <c r="E48">
        <v>8</v>
      </c>
      <c r="F48">
        <f>'year to ultimate LDF'!F55</f>
        <v>1.0005589500753906</v>
      </c>
      <c r="G48" s="12">
        <f t="shared" si="3"/>
        <v>1590076.27675241</v>
      </c>
      <c r="H48" s="12">
        <f t="shared" ref="H48:H57" si="4">G48-D48</f>
        <v>888.27675240999088</v>
      </c>
      <c r="I48" s="6">
        <v>2491065</v>
      </c>
      <c r="J48" s="12">
        <f t="shared" ref="J48:J57" si="5">(G48/I48)*100</f>
        <v>63.831183720714236</v>
      </c>
    </row>
    <row r="49" spans="3:10" x14ac:dyDescent="0.2">
      <c r="C49" s="8">
        <v>2018</v>
      </c>
      <c r="D49" s="10">
        <f>'loss development'!J49</f>
        <v>1460495</v>
      </c>
      <c r="E49">
        <v>7</v>
      </c>
      <c r="F49">
        <f>'year to ultimate LDF'!F54</f>
        <v>1.0024387029303981</v>
      </c>
      <c r="G49" s="12">
        <f t="shared" si="3"/>
        <v>1464056.7134363316</v>
      </c>
      <c r="H49" s="12">
        <f t="shared" si="4"/>
        <v>3561.7134363316</v>
      </c>
      <c r="I49" s="6">
        <v>2348804</v>
      </c>
      <c r="J49" s="12">
        <f t="shared" si="5"/>
        <v>62.332008691927108</v>
      </c>
    </row>
    <row r="50" spans="3:10" x14ac:dyDescent="0.2">
      <c r="C50" s="8">
        <v>2019</v>
      </c>
      <c r="D50" s="10">
        <f>'loss development'!I50</f>
        <v>1481083</v>
      </c>
      <c r="E50">
        <v>6</v>
      </c>
      <c r="F50">
        <f>'year to ultimate LDF'!F53</f>
        <v>1.0085212730543083</v>
      </c>
      <c r="G50" s="12">
        <f t="shared" si="3"/>
        <v>1493703.712659094</v>
      </c>
      <c r="H50" s="12">
        <f t="shared" si="4"/>
        <v>12620.712659094017</v>
      </c>
      <c r="I50" s="6">
        <v>2391144</v>
      </c>
      <c r="J50" s="12">
        <f t="shared" si="5"/>
        <v>62.468162212693755</v>
      </c>
    </row>
    <row r="51" spans="3:10" x14ac:dyDescent="0.2">
      <c r="C51" s="8">
        <v>2020</v>
      </c>
      <c r="D51" s="10">
        <f>'loss development'!H51</f>
        <v>1160694</v>
      </c>
      <c r="E51">
        <v>5</v>
      </c>
      <c r="F51">
        <f>'year to ultimate LDF'!F52</f>
        <v>1.0171640335949712</v>
      </c>
      <c r="G51" s="12">
        <f t="shared" si="3"/>
        <v>1180616.1908094815</v>
      </c>
      <c r="H51" s="12">
        <f t="shared" si="4"/>
        <v>19922.190809481544</v>
      </c>
      <c r="I51" s="6">
        <v>2376625</v>
      </c>
      <c r="J51" s="12">
        <f t="shared" si="5"/>
        <v>49.676166446514763</v>
      </c>
    </row>
    <row r="52" spans="3:10" x14ac:dyDescent="0.2">
      <c r="C52" s="8">
        <v>2021</v>
      </c>
      <c r="D52" s="10">
        <f>'loss development'!G52</f>
        <v>1485018</v>
      </c>
      <c r="E52">
        <v>4</v>
      </c>
      <c r="F52">
        <f>'year to ultimate LDF'!F51</f>
        <v>1.0344489423590424</v>
      </c>
      <c r="G52" s="12">
        <f t="shared" si="3"/>
        <v>1536175.2994841405</v>
      </c>
      <c r="H52" s="12">
        <f t="shared" si="4"/>
        <v>51157.299484140472</v>
      </c>
      <c r="I52" s="6">
        <v>2561499</v>
      </c>
      <c r="J52" s="12">
        <f t="shared" si="5"/>
        <v>59.971731376203564</v>
      </c>
    </row>
    <row r="53" spans="3:10" x14ac:dyDescent="0.2">
      <c r="C53" s="8">
        <v>2022</v>
      </c>
      <c r="D53" s="10">
        <f>'loss development'!F53</f>
        <v>1643084</v>
      </c>
      <c r="E53">
        <v>3</v>
      </c>
      <c r="F53">
        <f>'year to ultimate LDF'!F50</f>
        <v>1.0754903559821849</v>
      </c>
      <c r="G53" s="12">
        <f t="shared" si="3"/>
        <v>1767120.9960686322</v>
      </c>
      <c r="H53" s="12">
        <f t="shared" si="4"/>
        <v>124036.99606863223</v>
      </c>
      <c r="I53" s="6">
        <v>2667863</v>
      </c>
      <c r="J53" s="12">
        <f t="shared" si="5"/>
        <v>66.237321634155592</v>
      </c>
    </row>
    <row r="54" spans="3:10" x14ac:dyDescent="0.2">
      <c r="C54" s="8">
        <v>2023</v>
      </c>
      <c r="D54" s="10">
        <f>'loss development'!E54</f>
        <v>1543755</v>
      </c>
      <c r="E54">
        <v>2</v>
      </c>
      <c r="F54">
        <f>'year to ultimate LDF'!F49</f>
        <v>1.1724068446675344</v>
      </c>
      <c r="G54" s="12">
        <f t="shared" si="3"/>
        <v>1809908.9284897295</v>
      </c>
      <c r="H54" s="12">
        <f t="shared" si="4"/>
        <v>266153.92848972953</v>
      </c>
      <c r="I54" s="6">
        <v>2670560</v>
      </c>
      <c r="J54" s="12">
        <f t="shared" si="5"/>
        <v>67.772636768682588</v>
      </c>
    </row>
    <row r="55" spans="3:10" x14ac:dyDescent="0.2">
      <c r="C55" s="8">
        <v>2024</v>
      </c>
      <c r="D55" s="10">
        <f>'loss development'!D55</f>
        <v>1149407</v>
      </c>
      <c r="E55">
        <v>1</v>
      </c>
      <c r="F55">
        <f>'year to ultimate LDF'!F48</f>
        <v>1.4483903281932633</v>
      </c>
      <c r="G55" s="12">
        <f t="shared" si="3"/>
        <v>1664789.9819576342</v>
      </c>
      <c r="H55" s="12">
        <f t="shared" si="4"/>
        <v>515382.98195763421</v>
      </c>
      <c r="I55" s="6">
        <v>2673601</v>
      </c>
      <c r="J55" s="12">
        <f t="shared" si="5"/>
        <v>62.267704940177474</v>
      </c>
    </row>
    <row r="56" spans="3:10" x14ac:dyDescent="0.2">
      <c r="C56" s="8">
        <v>2025</v>
      </c>
      <c r="D56" s="10">
        <f>'loss development'!C56</f>
        <v>597590</v>
      </c>
      <c r="E56">
        <v>0</v>
      </c>
      <c r="F56">
        <f>'year to ultimate LDF'!F47</f>
        <v>2.8458526480806312</v>
      </c>
      <c r="G56" s="12">
        <f t="shared" si="3"/>
        <v>1700653.0839665043</v>
      </c>
      <c r="H56" s="12">
        <f t="shared" si="4"/>
        <v>1103063.0839665043</v>
      </c>
      <c r="I56" s="6">
        <v>2807550</v>
      </c>
      <c r="J56" s="12">
        <f>(G56/I56)*100</f>
        <v>60.574275933340616</v>
      </c>
    </row>
    <row r="57" spans="3:10" x14ac:dyDescent="0.2">
      <c r="F57" s="8" t="s">
        <v>38</v>
      </c>
      <c r="G57" s="11">
        <f>SUM(G47:G56)</f>
        <v>15982849.18362396</v>
      </c>
      <c r="H57" s="11">
        <f>SUM(H47:H56)</f>
        <v>2096787.1836239579</v>
      </c>
      <c r="I57" s="13">
        <f>SUM(I47:I56)</f>
        <v>25496843</v>
      </c>
      <c r="J57" s="11">
        <f t="shared" si="5"/>
        <v>62.685600658967701</v>
      </c>
    </row>
    <row r="64" spans="3:10" x14ac:dyDescent="0.2">
      <c r="C64" s="8" t="s">
        <v>30</v>
      </c>
      <c r="D64" s="8" t="s">
        <v>31</v>
      </c>
      <c r="E64" s="8" t="s">
        <v>32</v>
      </c>
      <c r="F64" s="8" t="s">
        <v>33</v>
      </c>
      <c r="G64" s="11" t="s">
        <v>34</v>
      </c>
      <c r="H64" s="8" t="s">
        <v>35</v>
      </c>
      <c r="I64" s="8" t="s">
        <v>36</v>
      </c>
      <c r="J64" s="8" t="s">
        <v>37</v>
      </c>
    </row>
    <row r="65" spans="3:10" x14ac:dyDescent="0.2">
      <c r="C65" s="8">
        <v>2016</v>
      </c>
      <c r="D65" s="10">
        <f>'loss development'!L65</f>
        <v>66499</v>
      </c>
      <c r="E65">
        <v>9</v>
      </c>
      <c r="F65">
        <f>'year to ultimate LDF'!F74</f>
        <v>1</v>
      </c>
      <c r="G65" s="12">
        <f t="shared" ref="G65:G74" si="6">PRODUCT(D65,F65)</f>
        <v>66499</v>
      </c>
      <c r="H65" s="10">
        <f>G65-D65</f>
        <v>0</v>
      </c>
      <c r="I65" s="6">
        <v>101054</v>
      </c>
      <c r="J65" s="12">
        <f>(G65/I65)*100</f>
        <v>65.805410968393147</v>
      </c>
    </row>
    <row r="66" spans="3:10" x14ac:dyDescent="0.2">
      <c r="C66" s="8">
        <v>2017</v>
      </c>
      <c r="D66" s="10">
        <f>'loss development'!K66</f>
        <v>65946</v>
      </c>
      <c r="E66">
        <v>8</v>
      </c>
      <c r="F66">
        <f>'year to ultimate LDF'!F73</f>
        <v>1.0002406630266385</v>
      </c>
      <c r="G66" s="12">
        <f t="shared" si="6"/>
        <v>65961.870763954706</v>
      </c>
      <c r="H66" s="12">
        <f t="shared" ref="H66:H75" si="7">G66-D66</f>
        <v>15.87076395470649</v>
      </c>
      <c r="I66" s="6">
        <v>99499</v>
      </c>
      <c r="J66" s="12">
        <f t="shared" ref="J66:J75" si="8">(G66/I66)*100</f>
        <v>66.294003722604955</v>
      </c>
    </row>
    <row r="67" spans="3:10" x14ac:dyDescent="0.2">
      <c r="C67" s="8">
        <v>2018</v>
      </c>
      <c r="D67" s="10">
        <f>'loss development'!J67</f>
        <v>97872</v>
      </c>
      <c r="E67">
        <v>7</v>
      </c>
      <c r="F67">
        <f>'year to ultimate LDF'!F72</f>
        <v>1.003902132417464</v>
      </c>
      <c r="G67" s="12">
        <f t="shared" si="6"/>
        <v>98253.90950396203</v>
      </c>
      <c r="H67" s="12">
        <f t="shared" si="7"/>
        <v>381.9095039620297</v>
      </c>
      <c r="I67" s="6">
        <v>121491</v>
      </c>
      <c r="J67" s="12">
        <f t="shared" si="8"/>
        <v>80.873405852254095</v>
      </c>
    </row>
    <row r="68" spans="3:10" x14ac:dyDescent="0.2">
      <c r="C68" s="8">
        <v>2019</v>
      </c>
      <c r="D68" s="10">
        <f>'loss development'!I68</f>
        <v>112567</v>
      </c>
      <c r="E68">
        <v>6</v>
      </c>
      <c r="F68">
        <f>'year to ultimate LDF'!F71</f>
        <v>1.0126130953951078</v>
      </c>
      <c r="G68" s="12">
        <f t="shared" si="6"/>
        <v>113986.81830934111</v>
      </c>
      <c r="H68" s="12">
        <f t="shared" si="7"/>
        <v>1419.8183093411062</v>
      </c>
      <c r="I68" s="6">
        <v>131570</v>
      </c>
      <c r="J68" s="12">
        <f t="shared" si="8"/>
        <v>86.635873154473742</v>
      </c>
    </row>
    <row r="69" spans="3:10" x14ac:dyDescent="0.2">
      <c r="C69" s="8">
        <v>2020</v>
      </c>
      <c r="D69" s="10">
        <f>'loss development'!H69</f>
        <v>108710</v>
      </c>
      <c r="E69">
        <v>5</v>
      </c>
      <c r="F69">
        <f>'year to ultimate LDF'!F70</f>
        <v>1.036257101732071</v>
      </c>
      <c r="G69" s="12">
        <f t="shared" si="6"/>
        <v>112651.50952929344</v>
      </c>
      <c r="H69" s="12">
        <f t="shared" si="7"/>
        <v>3941.509529293442</v>
      </c>
      <c r="I69" s="6">
        <v>153861</v>
      </c>
      <c r="J69" s="12">
        <f t="shared" si="8"/>
        <v>73.216415809915077</v>
      </c>
    </row>
    <row r="70" spans="3:10" x14ac:dyDescent="0.2">
      <c r="C70" s="8">
        <v>2021</v>
      </c>
      <c r="D70" s="10">
        <f>'loss development'!G70</f>
        <v>141549</v>
      </c>
      <c r="E70">
        <v>4</v>
      </c>
      <c r="F70">
        <f>'year to ultimate LDF'!F69</f>
        <v>1.0747215004089983</v>
      </c>
      <c r="G70" s="12">
        <f t="shared" si="6"/>
        <v>152125.7536613933</v>
      </c>
      <c r="H70" s="12">
        <f t="shared" si="7"/>
        <v>10576.753661393304</v>
      </c>
      <c r="I70" s="6">
        <v>191274</v>
      </c>
      <c r="J70" s="12">
        <f t="shared" si="8"/>
        <v>79.532897132591629</v>
      </c>
    </row>
    <row r="71" spans="3:10" x14ac:dyDescent="0.2">
      <c r="C71" s="8">
        <v>2022</v>
      </c>
      <c r="D71" s="10">
        <f>'loss development'!F71</f>
        <v>170710</v>
      </c>
      <c r="E71">
        <v>3</v>
      </c>
      <c r="F71">
        <f>'year to ultimate LDF'!F68</f>
        <v>1.1851685676715726</v>
      </c>
      <c r="G71" s="12">
        <f t="shared" si="6"/>
        <v>202320.12618721416</v>
      </c>
      <c r="H71" s="12">
        <f t="shared" si="7"/>
        <v>31610.126187214162</v>
      </c>
      <c r="I71" s="6">
        <v>292332</v>
      </c>
      <c r="J71" s="12">
        <f t="shared" si="8"/>
        <v>69.20902473462165</v>
      </c>
    </row>
    <row r="72" spans="3:10" x14ac:dyDescent="0.2">
      <c r="C72" s="8">
        <v>2023</v>
      </c>
      <c r="D72" s="10">
        <f>'loss development'!E72</f>
        <v>93595</v>
      </c>
      <c r="E72">
        <v>2</v>
      </c>
      <c r="F72">
        <f>'year to ultimate LDF'!F67</f>
        <v>1.4203439202366173</v>
      </c>
      <c r="G72" s="12">
        <f t="shared" si="6"/>
        <v>132937.0892145462</v>
      </c>
      <c r="H72" s="12">
        <f t="shared" si="7"/>
        <v>39342.089214546198</v>
      </c>
      <c r="I72" s="6">
        <v>197854</v>
      </c>
      <c r="J72" s="12">
        <f t="shared" si="8"/>
        <v>67.189487811490395</v>
      </c>
    </row>
    <row r="73" spans="3:10" x14ac:dyDescent="0.2">
      <c r="C73" s="8">
        <v>2024</v>
      </c>
      <c r="D73" s="10">
        <f>'loss development'!D73</f>
        <v>63273</v>
      </c>
      <c r="E73">
        <v>1</v>
      </c>
      <c r="F73">
        <f>'year to ultimate LDF'!F66</f>
        <v>2.2180131314174942</v>
      </c>
      <c r="G73" s="12">
        <f t="shared" si="6"/>
        <v>140340.34486417912</v>
      </c>
      <c r="H73" s="12">
        <f t="shared" si="7"/>
        <v>77067.344864179118</v>
      </c>
      <c r="I73" s="6">
        <v>197183</v>
      </c>
      <c r="J73" s="12">
        <f t="shared" si="8"/>
        <v>71.172639053153219</v>
      </c>
    </row>
    <row r="74" spans="3:10" x14ac:dyDescent="0.2">
      <c r="C74" s="8">
        <v>2025</v>
      </c>
      <c r="D74" s="10">
        <f>'loss development'!C74</f>
        <v>26217</v>
      </c>
      <c r="E74">
        <v>0</v>
      </c>
      <c r="F74">
        <f>'year to ultimate LDF'!F65</f>
        <v>5.9479382227271111</v>
      </c>
      <c r="G74" s="12">
        <f t="shared" si="6"/>
        <v>155937.09638523668</v>
      </c>
      <c r="H74" s="12">
        <f t="shared" si="7"/>
        <v>129720.09638523668</v>
      </c>
      <c r="I74" s="6">
        <v>256817</v>
      </c>
      <c r="J74" s="12">
        <f>(G74/I74)*100</f>
        <v>60.719148804493742</v>
      </c>
    </row>
    <row r="75" spans="3:10" x14ac:dyDescent="0.2">
      <c r="F75" s="8" t="s">
        <v>38</v>
      </c>
      <c r="G75" s="11">
        <f>SUM(G65:G74)</f>
        <v>1241013.5184191207</v>
      </c>
      <c r="H75" s="11">
        <f>SUM(H65:H74)</f>
        <v>294075.51841912075</v>
      </c>
      <c r="I75" s="13">
        <f>SUM(I65:I74)</f>
        <v>1742935</v>
      </c>
      <c r="J75" s="11">
        <f t="shared" si="8"/>
        <v>71.202512911790777</v>
      </c>
    </row>
    <row r="82" spans="3:10" x14ac:dyDescent="0.2">
      <c r="C82" s="8" t="s">
        <v>30</v>
      </c>
      <c r="D82" s="8" t="s">
        <v>31</v>
      </c>
      <c r="E82" s="8" t="s">
        <v>32</v>
      </c>
      <c r="F82" s="8" t="s">
        <v>33</v>
      </c>
      <c r="G82" s="11" t="s">
        <v>34</v>
      </c>
      <c r="H82" s="8" t="s">
        <v>35</v>
      </c>
      <c r="I82" s="8" t="s">
        <v>36</v>
      </c>
      <c r="J82" s="8" t="s">
        <v>37</v>
      </c>
    </row>
    <row r="83" spans="3:10" x14ac:dyDescent="0.2">
      <c r="C83" s="8">
        <v>2016</v>
      </c>
      <c r="D83" s="10">
        <f>'loss development'!L83</f>
        <v>65019</v>
      </c>
      <c r="E83">
        <v>9</v>
      </c>
      <c r="F83">
        <f>'year to ultimate LDF'!F92</f>
        <v>1</v>
      </c>
      <c r="G83" s="12">
        <f t="shared" ref="G83:G92" si="9">PRODUCT(D83,F83)</f>
        <v>65019</v>
      </c>
      <c r="H83" s="10">
        <f>G83-D83</f>
        <v>0</v>
      </c>
      <c r="I83" s="6">
        <v>174256</v>
      </c>
      <c r="J83" s="12">
        <f>(G83/I83)*100</f>
        <v>37.312345055550452</v>
      </c>
    </row>
    <row r="84" spans="3:10" x14ac:dyDescent="0.2">
      <c r="C84" s="8">
        <v>2017</v>
      </c>
      <c r="D84" s="10">
        <f>'loss development'!K84</f>
        <v>49003</v>
      </c>
      <c r="E84">
        <v>8</v>
      </c>
      <c r="F84">
        <f>'year to ultimate LDF'!F91</f>
        <v>1.0123312625531318</v>
      </c>
      <c r="G84" s="12">
        <f t="shared" si="9"/>
        <v>49607.268858891119</v>
      </c>
      <c r="H84" s="12">
        <f t="shared" ref="H84:H93" si="10">G84-D84</f>
        <v>604.26885889111873</v>
      </c>
      <c r="I84" s="6">
        <v>147322</v>
      </c>
      <c r="J84" s="12">
        <f t="shared" ref="J84:J93" si="11">(G84/I84)*100</f>
        <v>33.672682191995165</v>
      </c>
    </row>
    <row r="85" spans="3:10" x14ac:dyDescent="0.2">
      <c r="C85" s="8">
        <v>2018</v>
      </c>
      <c r="D85" s="10">
        <f>'loss development'!J85</f>
        <v>47987</v>
      </c>
      <c r="E85">
        <v>7</v>
      </c>
      <c r="F85">
        <f>'year to ultimate LDF'!F90</f>
        <v>1.0294693866710773</v>
      </c>
      <c r="G85" s="12">
        <f t="shared" si="9"/>
        <v>49401.147458184991</v>
      </c>
      <c r="H85" s="12">
        <f t="shared" si="10"/>
        <v>1414.1474581849907</v>
      </c>
      <c r="I85" s="6">
        <v>135256</v>
      </c>
      <c r="J85" s="12">
        <f t="shared" si="11"/>
        <v>36.524181890773782</v>
      </c>
    </row>
    <row r="86" spans="3:10" x14ac:dyDescent="0.2">
      <c r="C86" s="8">
        <v>2019</v>
      </c>
      <c r="D86" s="10">
        <f>'loss development'!I86</f>
        <v>41946</v>
      </c>
      <c r="E86">
        <v>6</v>
      </c>
      <c r="F86">
        <f>'year to ultimate LDF'!F89</f>
        <v>1.0570002726931995</v>
      </c>
      <c r="G86" s="12">
        <f t="shared" si="9"/>
        <v>44336.933438388944</v>
      </c>
      <c r="H86" s="12">
        <f t="shared" si="10"/>
        <v>2390.9334383889436</v>
      </c>
      <c r="I86" s="6">
        <v>108262</v>
      </c>
      <c r="J86" s="12">
        <f t="shared" si="11"/>
        <v>40.95336631356242</v>
      </c>
    </row>
    <row r="87" spans="3:10" x14ac:dyDescent="0.2">
      <c r="C87" s="8">
        <v>2020</v>
      </c>
      <c r="D87" s="10">
        <f>'loss development'!H87</f>
        <v>39810</v>
      </c>
      <c r="E87">
        <v>5</v>
      </c>
      <c r="F87">
        <f>'year to ultimate LDF'!F88</f>
        <v>1.0910156441730898</v>
      </c>
      <c r="G87" s="12">
        <f t="shared" si="9"/>
        <v>43433.332794530703</v>
      </c>
      <c r="H87" s="12">
        <f t="shared" si="10"/>
        <v>3623.3327945307028</v>
      </c>
      <c r="I87" s="6">
        <v>87903</v>
      </c>
      <c r="J87" s="12">
        <f t="shared" si="11"/>
        <v>49.410523866683391</v>
      </c>
    </row>
    <row r="88" spans="3:10" x14ac:dyDescent="0.2">
      <c r="C88" s="8">
        <v>2021</v>
      </c>
      <c r="D88" s="10">
        <f>'loss development'!G88</f>
        <v>31672</v>
      </c>
      <c r="E88">
        <v>4</v>
      </c>
      <c r="F88">
        <f>'year to ultimate LDF'!F87</f>
        <v>1.1580046198738774</v>
      </c>
      <c r="G88" s="12">
        <f t="shared" si="9"/>
        <v>36676.322320645442</v>
      </c>
      <c r="H88" s="12">
        <f t="shared" si="10"/>
        <v>5004.3223206454422</v>
      </c>
      <c r="I88" s="6">
        <v>87925</v>
      </c>
      <c r="J88" s="12">
        <f t="shared" si="11"/>
        <v>41.713190014950747</v>
      </c>
    </row>
    <row r="89" spans="3:10" x14ac:dyDescent="0.2">
      <c r="C89" s="8">
        <v>2022</v>
      </c>
      <c r="D89" s="10">
        <f>'loss development'!F89</f>
        <v>31804</v>
      </c>
      <c r="E89">
        <v>3</v>
      </c>
      <c r="F89">
        <f>'year to ultimate LDF'!F86</f>
        <v>1.2780736558887118</v>
      </c>
      <c r="G89" s="12">
        <f t="shared" si="9"/>
        <v>40647.854551884593</v>
      </c>
      <c r="H89" s="12">
        <f t="shared" si="10"/>
        <v>8843.8545518845931</v>
      </c>
      <c r="I89" s="6">
        <v>96420</v>
      </c>
      <c r="J89" s="12">
        <f t="shared" si="11"/>
        <v>42.157077942215928</v>
      </c>
    </row>
    <row r="90" spans="3:10" x14ac:dyDescent="0.2">
      <c r="C90" s="8">
        <v>2023</v>
      </c>
      <c r="D90" s="10">
        <f>'loss development'!E90</f>
        <v>23754</v>
      </c>
      <c r="E90">
        <v>2</v>
      </c>
      <c r="F90">
        <f>'year to ultimate LDF'!F85</f>
        <v>1.5355058501291201</v>
      </c>
      <c r="G90" s="12">
        <f t="shared" si="9"/>
        <v>36474.405963967118</v>
      </c>
      <c r="H90" s="12">
        <f t="shared" si="10"/>
        <v>12720.405963967118</v>
      </c>
      <c r="I90" s="6">
        <v>95150</v>
      </c>
      <c r="J90" s="12">
        <f t="shared" si="11"/>
        <v>38.333584828131492</v>
      </c>
    </row>
    <row r="91" spans="3:10" x14ac:dyDescent="0.2">
      <c r="C91" s="8">
        <v>2024</v>
      </c>
      <c r="D91" s="10">
        <f>'loss development'!D91</f>
        <v>14919</v>
      </c>
      <c r="E91">
        <v>1</v>
      </c>
      <c r="F91">
        <f>'year to ultimate LDF'!F84</f>
        <v>2.1919555452154977</v>
      </c>
      <c r="G91" s="12">
        <f t="shared" si="9"/>
        <v>32701.784779070011</v>
      </c>
      <c r="H91" s="12">
        <f t="shared" si="10"/>
        <v>17782.784779070011</v>
      </c>
      <c r="I91" s="6">
        <v>77722</v>
      </c>
      <c r="J91" s="12">
        <f t="shared" si="11"/>
        <v>42.075325878219822</v>
      </c>
    </row>
    <row r="92" spans="3:10" x14ac:dyDescent="0.2">
      <c r="C92" s="8">
        <v>2025</v>
      </c>
      <c r="D92" s="10">
        <f>'loss development'!C92</f>
        <v>5174</v>
      </c>
      <c r="E92">
        <v>0</v>
      </c>
      <c r="F92">
        <f>'year to ultimate LDF'!F83</f>
        <v>5.5504187592748435</v>
      </c>
      <c r="G92" s="12">
        <f t="shared" si="9"/>
        <v>28717.866660488042</v>
      </c>
      <c r="H92" s="12">
        <f t="shared" si="10"/>
        <v>23543.866660488042</v>
      </c>
      <c r="I92" s="6">
        <v>66742</v>
      </c>
      <c r="J92" s="12">
        <f>(G92/I92)*100</f>
        <v>43.028178149423212</v>
      </c>
    </row>
    <row r="93" spans="3:10" x14ac:dyDescent="0.2">
      <c r="F93" s="8" t="s">
        <v>38</v>
      </c>
      <c r="G93" s="11">
        <f>SUM(G83:G92)</f>
        <v>427015.91682605096</v>
      </c>
      <c r="H93" s="11">
        <f>SUM(H83:H92)</f>
        <v>75927.916826050961</v>
      </c>
      <c r="I93" s="13">
        <f>SUM(I83:I92)</f>
        <v>1076958</v>
      </c>
      <c r="J93" s="11">
        <f t="shared" si="11"/>
        <v>39.650192191900793</v>
      </c>
    </row>
    <row r="100" spans="3:13" x14ac:dyDescent="0.2">
      <c r="C100" s="8" t="s">
        <v>30</v>
      </c>
      <c r="D100" s="8" t="s">
        <v>31</v>
      </c>
      <c r="E100" s="8" t="s">
        <v>32</v>
      </c>
      <c r="F100" s="8" t="s">
        <v>33</v>
      </c>
      <c r="G100" s="11" t="s">
        <v>34</v>
      </c>
      <c r="H100" s="8" t="s">
        <v>35</v>
      </c>
      <c r="I100" s="8" t="s">
        <v>36</v>
      </c>
      <c r="J100" s="8" t="s">
        <v>37</v>
      </c>
    </row>
    <row r="101" spans="3:13" x14ac:dyDescent="0.2">
      <c r="C101" s="8">
        <v>2016</v>
      </c>
      <c r="D101" s="10">
        <f>'loss development'!L101</f>
        <v>347698</v>
      </c>
      <c r="E101">
        <v>9</v>
      </c>
      <c r="F101">
        <f>'year to ultimate LDF'!F110</f>
        <v>1</v>
      </c>
      <c r="G101" s="12">
        <f t="shared" ref="G101:G110" si="12">PRODUCT(D101,F101)</f>
        <v>347698</v>
      </c>
      <c r="H101" s="10">
        <f>G101-D101</f>
        <v>0</v>
      </c>
      <c r="I101" s="6">
        <v>608671</v>
      </c>
      <c r="J101" s="12">
        <f>(G101/I101)*100</f>
        <v>57.124127812890713</v>
      </c>
      <c r="M101" t="s">
        <v>39</v>
      </c>
    </row>
    <row r="102" spans="3:13" x14ac:dyDescent="0.2">
      <c r="C102" s="8">
        <v>2017</v>
      </c>
      <c r="D102" s="10">
        <f>'loss development'!K102</f>
        <v>341340</v>
      </c>
      <c r="E102">
        <v>8</v>
      </c>
      <c r="F102">
        <f>'year to ultimate LDF'!F109</f>
        <v>1.0039731810280605</v>
      </c>
      <c r="G102" s="12">
        <f t="shared" si="12"/>
        <v>342696.20561211818</v>
      </c>
      <c r="H102" s="12">
        <f t="shared" ref="H102:H111" si="13">G102-D102</f>
        <v>1356.2056121181813</v>
      </c>
      <c r="I102" s="6">
        <v>552494</v>
      </c>
      <c r="J102" s="12">
        <f t="shared" ref="J102:J111" si="14">(G102/I102)*100</f>
        <v>62.027136152088204</v>
      </c>
    </row>
    <row r="103" spans="3:13" x14ac:dyDescent="0.2">
      <c r="C103" s="8">
        <v>2018</v>
      </c>
      <c r="D103" s="10">
        <f>'loss development'!J103</f>
        <v>361950</v>
      </c>
      <c r="E103">
        <v>7</v>
      </c>
      <c r="F103">
        <f>'year to ultimate LDF'!F108</f>
        <v>1.0092390671361844</v>
      </c>
      <c r="G103" s="12">
        <f t="shared" si="12"/>
        <v>365294.08034994191</v>
      </c>
      <c r="H103" s="12">
        <f t="shared" si="13"/>
        <v>3344.0803499419126</v>
      </c>
      <c r="I103" s="6">
        <v>553910</v>
      </c>
      <c r="J103" s="12">
        <f t="shared" si="14"/>
        <v>65.948273248351157</v>
      </c>
    </row>
    <row r="104" spans="3:13" x14ac:dyDescent="0.2">
      <c r="C104" s="8">
        <v>2019</v>
      </c>
      <c r="D104" s="10">
        <f>'loss development'!I104</f>
        <v>340282</v>
      </c>
      <c r="E104">
        <v>6</v>
      </c>
      <c r="F104">
        <f>'year to ultimate LDF'!F107</f>
        <v>1.0182502779911593</v>
      </c>
      <c r="G104" s="12">
        <f t="shared" si="12"/>
        <v>346492.24109538767</v>
      </c>
      <c r="H104" s="12">
        <f t="shared" si="13"/>
        <v>6210.2410953876679</v>
      </c>
      <c r="I104" s="6">
        <v>537217</v>
      </c>
      <c r="J104" s="12">
        <f t="shared" si="14"/>
        <v>64.497631514897648</v>
      </c>
    </row>
    <row r="105" spans="3:13" x14ac:dyDescent="0.2">
      <c r="C105" s="8">
        <v>2020</v>
      </c>
      <c r="D105" s="10">
        <f>'loss development'!H105</f>
        <v>335149</v>
      </c>
      <c r="E105">
        <v>5</v>
      </c>
      <c r="F105">
        <f>'year to ultimate LDF'!F106</f>
        <v>1.0403970266116269</v>
      </c>
      <c r="G105" s="12">
        <f t="shared" si="12"/>
        <v>348688.02307186014</v>
      </c>
      <c r="H105" s="12">
        <f t="shared" si="13"/>
        <v>13539.023071860138</v>
      </c>
      <c r="I105" s="6">
        <v>559541</v>
      </c>
      <c r="J105" s="12">
        <f t="shared" si="14"/>
        <v>62.31679592234709</v>
      </c>
    </row>
    <row r="106" spans="3:13" x14ac:dyDescent="0.2">
      <c r="C106" s="8">
        <v>2021</v>
      </c>
      <c r="D106" s="10">
        <f>'loss development'!G106</f>
        <v>335810</v>
      </c>
      <c r="E106">
        <v>4</v>
      </c>
      <c r="F106">
        <f>'year to ultimate LDF'!F105</f>
        <v>1.0743324189445889</v>
      </c>
      <c r="G106" s="12">
        <f t="shared" si="12"/>
        <v>360771.5696057824</v>
      </c>
      <c r="H106" s="12">
        <f t="shared" si="13"/>
        <v>24961.569605782395</v>
      </c>
      <c r="I106" s="6">
        <v>537215</v>
      </c>
      <c r="J106" s="12">
        <f t="shared" si="14"/>
        <v>67.155900264471839</v>
      </c>
    </row>
    <row r="107" spans="3:13" x14ac:dyDescent="0.2">
      <c r="C107" s="8">
        <v>2022</v>
      </c>
      <c r="D107" s="10">
        <f>'loss development'!F107</f>
        <v>328370</v>
      </c>
      <c r="E107">
        <v>3</v>
      </c>
      <c r="F107">
        <f>'year to ultimate LDF'!F104</f>
        <v>1.1369444577622556</v>
      </c>
      <c r="G107" s="12">
        <f t="shared" si="12"/>
        <v>373338.4515953919</v>
      </c>
      <c r="H107" s="12">
        <f t="shared" si="13"/>
        <v>44968.451595391904</v>
      </c>
      <c r="I107" s="6">
        <v>573669</v>
      </c>
      <c r="J107" s="12">
        <f t="shared" si="14"/>
        <v>65.079070264454216</v>
      </c>
    </row>
    <row r="108" spans="3:13" x14ac:dyDescent="0.2">
      <c r="C108" s="8">
        <v>2023</v>
      </c>
      <c r="D108" s="10">
        <f>'loss development'!E108</f>
        <v>319819</v>
      </c>
      <c r="E108">
        <v>2</v>
      </c>
      <c r="F108">
        <f>'year to ultimate LDF'!F103</f>
        <v>1.2310137752523385</v>
      </c>
      <c r="G108" s="12">
        <f t="shared" si="12"/>
        <v>393701.59458742762</v>
      </c>
      <c r="H108" s="12">
        <f t="shared" si="13"/>
        <v>73882.594587427622</v>
      </c>
      <c r="I108" s="6">
        <v>601787</v>
      </c>
      <c r="J108" s="12">
        <f t="shared" si="14"/>
        <v>65.422083658740988</v>
      </c>
    </row>
    <row r="109" spans="3:13" x14ac:dyDescent="0.2">
      <c r="C109" s="8">
        <v>2024</v>
      </c>
      <c r="D109" s="10">
        <f>'loss development'!D109</f>
        <v>215589</v>
      </c>
      <c r="E109">
        <v>1</v>
      </c>
      <c r="F109">
        <f>'year to ultimate LDF'!F102</f>
        <v>1.4020811777416489</v>
      </c>
      <c r="G109" s="12">
        <f t="shared" si="12"/>
        <v>302273.27902814432</v>
      </c>
      <c r="H109" s="12">
        <f t="shared" si="13"/>
        <v>86684.279028144316</v>
      </c>
      <c r="I109" s="6">
        <v>593909</v>
      </c>
      <c r="J109" s="12">
        <f t="shared" si="14"/>
        <v>50.895554542555224</v>
      </c>
    </row>
    <row r="110" spans="3:13" x14ac:dyDescent="0.2">
      <c r="C110" s="8">
        <v>2025</v>
      </c>
      <c r="D110" s="10">
        <f>'loss development'!C110</f>
        <v>119207</v>
      </c>
      <c r="E110">
        <v>0</v>
      </c>
      <c r="F110">
        <f>'year to ultimate LDF'!F101</f>
        <v>2.1537502580990617</v>
      </c>
      <c r="G110" s="12">
        <f t="shared" si="12"/>
        <v>256742.10701721485</v>
      </c>
      <c r="H110" s="12">
        <f t="shared" si="13"/>
        <v>137535.10701721485</v>
      </c>
      <c r="I110" s="6">
        <v>627414</v>
      </c>
      <c r="J110" s="12">
        <f>(G110/I110)*100</f>
        <v>40.920685068744852</v>
      </c>
    </row>
    <row r="111" spans="3:13" x14ac:dyDescent="0.2">
      <c r="F111" s="8" t="s">
        <v>38</v>
      </c>
      <c r="G111" s="11">
        <f>SUM(G101:G110)</f>
        <v>3437695.5519632688</v>
      </c>
      <c r="H111" s="11">
        <f>SUM(H101:H110)</f>
        <v>392481.55196326901</v>
      </c>
      <c r="I111" s="13">
        <f>SUM(I101:I110)</f>
        <v>5745827</v>
      </c>
      <c r="J111" s="11">
        <f t="shared" si="14"/>
        <v>59.829430157978457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2C06B-35E1-2D43-8DAF-4C6320CB5BF8}">
  <dimension ref="B8:G110"/>
  <sheetViews>
    <sheetView tabSelected="1" topLeftCell="A96" workbookViewId="0">
      <selection activeCell="I133" sqref="I133"/>
    </sheetView>
  </sheetViews>
  <sheetFormatPr baseColWidth="10" defaultRowHeight="16" x14ac:dyDescent="0.2"/>
  <cols>
    <col min="2" max="2" width="12.5" bestFit="1" customWidth="1"/>
    <col min="3" max="3" width="15.83203125" bestFit="1" customWidth="1"/>
    <col min="4" max="4" width="29.5" bestFit="1" customWidth="1"/>
    <col min="5" max="5" width="25.5" bestFit="1" customWidth="1"/>
    <col min="6" max="6" width="16.83203125" bestFit="1" customWidth="1"/>
    <col min="7" max="7" width="20.1640625" bestFit="1" customWidth="1"/>
  </cols>
  <sheetData>
    <row r="8" spans="2:7" x14ac:dyDescent="0.2">
      <c r="B8" s="8" t="s">
        <v>30</v>
      </c>
      <c r="C8" s="8" t="s">
        <v>36</v>
      </c>
      <c r="D8" s="8" t="s">
        <v>40</v>
      </c>
      <c r="E8" s="8" t="s">
        <v>41</v>
      </c>
      <c r="F8" s="8" t="s">
        <v>42</v>
      </c>
      <c r="G8" s="8" t="s">
        <v>43</v>
      </c>
    </row>
    <row r="9" spans="2:7" x14ac:dyDescent="0.2">
      <c r="B9" s="8">
        <v>2016</v>
      </c>
    </row>
    <row r="10" spans="2:7" x14ac:dyDescent="0.2">
      <c r="B10" s="8">
        <v>2017</v>
      </c>
    </row>
    <row r="11" spans="2:7" x14ac:dyDescent="0.2">
      <c r="B11" s="8">
        <v>2018</v>
      </c>
      <c r="D11" s="7" t="s">
        <v>7</v>
      </c>
    </row>
    <row r="12" spans="2:7" x14ac:dyDescent="0.2">
      <c r="B12" s="8">
        <v>2019</v>
      </c>
    </row>
    <row r="13" spans="2:7" x14ac:dyDescent="0.2">
      <c r="B13" s="8">
        <v>2020</v>
      </c>
    </row>
    <row r="14" spans="2:7" x14ac:dyDescent="0.2">
      <c r="B14" s="8">
        <v>2021</v>
      </c>
    </row>
    <row r="15" spans="2:7" x14ac:dyDescent="0.2">
      <c r="B15" s="8">
        <v>2022</v>
      </c>
    </row>
    <row r="16" spans="2:7" x14ac:dyDescent="0.2">
      <c r="B16" s="8">
        <v>2023</v>
      </c>
    </row>
    <row r="17" spans="2:7" x14ac:dyDescent="0.2">
      <c r="B17" s="8">
        <v>2024</v>
      </c>
    </row>
    <row r="18" spans="2:7" x14ac:dyDescent="0.2">
      <c r="B18" s="8">
        <v>2025</v>
      </c>
    </row>
    <row r="28" spans="2:7" x14ac:dyDescent="0.2">
      <c r="B28" s="8" t="s">
        <v>30</v>
      </c>
      <c r="C28" s="8" t="s">
        <v>36</v>
      </c>
      <c r="D28" s="8" t="s">
        <v>40</v>
      </c>
      <c r="E28" s="8" t="s">
        <v>41</v>
      </c>
      <c r="F28" s="8" t="s">
        <v>42</v>
      </c>
      <c r="G28" s="8" t="s">
        <v>43</v>
      </c>
    </row>
    <row r="29" spans="2:7" x14ac:dyDescent="0.2">
      <c r="B29" s="8">
        <v>2016</v>
      </c>
      <c r="C29" s="6">
        <v>2215241</v>
      </c>
      <c r="D29" s="12">
        <f>'loss reserve and loss ratio'!J29</f>
        <v>55.115493077276923</v>
      </c>
      <c r="E29" s="12">
        <v>59.810666778489995</v>
      </c>
      <c r="F29" s="12">
        <f>D29-E29</f>
        <v>-4.6951737012130721</v>
      </c>
      <c r="G29" s="8" t="s">
        <v>44</v>
      </c>
    </row>
    <row r="30" spans="2:7" x14ac:dyDescent="0.2">
      <c r="B30" s="8">
        <v>2017</v>
      </c>
      <c r="C30" s="6">
        <v>2150139</v>
      </c>
      <c r="D30" s="12">
        <f>'loss reserve and loss ratio'!J30</f>
        <v>59.674292913964379</v>
      </c>
      <c r="E30" s="12">
        <v>59.810666778489995</v>
      </c>
      <c r="F30" s="12">
        <f>D30-E30</f>
        <v>-0.13637386452561628</v>
      </c>
      <c r="G30" s="8" t="s">
        <v>44</v>
      </c>
    </row>
    <row r="31" spans="2:7" x14ac:dyDescent="0.2">
      <c r="B31" s="8">
        <v>2018</v>
      </c>
      <c r="C31" s="6">
        <v>2022139</v>
      </c>
      <c r="D31" s="12">
        <f>'loss reserve and loss ratio'!J31</f>
        <v>57.814096550773421</v>
      </c>
      <c r="E31" s="12">
        <v>59.810666778489995</v>
      </c>
      <c r="F31" s="12">
        <f t="shared" ref="F31:F38" si="0">D31-E31</f>
        <v>-1.9965702277165747</v>
      </c>
      <c r="G31" s="8" t="s">
        <v>44</v>
      </c>
    </row>
    <row r="32" spans="2:7" x14ac:dyDescent="0.2">
      <c r="B32" s="8">
        <v>2019</v>
      </c>
      <c r="C32" s="6">
        <v>2129940</v>
      </c>
      <c r="D32" s="12">
        <f>'loss reserve and loss ratio'!J32</f>
        <v>57.168343636972018</v>
      </c>
      <c r="E32" s="12">
        <v>59.810666778489995</v>
      </c>
      <c r="F32" s="12">
        <f t="shared" si="0"/>
        <v>-2.6423231415179771</v>
      </c>
      <c r="G32" s="8" t="s">
        <v>44</v>
      </c>
    </row>
    <row r="33" spans="2:7" x14ac:dyDescent="0.2">
      <c r="B33" s="8">
        <v>2020</v>
      </c>
      <c r="C33" s="6">
        <v>2196541</v>
      </c>
      <c r="D33" s="12">
        <f>'loss reserve and loss ratio'!J33</f>
        <v>67.817969419263946</v>
      </c>
      <c r="E33" s="12">
        <v>59.810666778489995</v>
      </c>
      <c r="F33" s="12">
        <f t="shared" si="0"/>
        <v>8.0073026407739505</v>
      </c>
      <c r="G33" s="15" t="s">
        <v>46</v>
      </c>
    </row>
    <row r="34" spans="2:7" x14ac:dyDescent="0.2">
      <c r="B34" s="8">
        <v>2021</v>
      </c>
      <c r="C34" s="6">
        <v>2430326</v>
      </c>
      <c r="D34" s="12">
        <f>'loss reserve and loss ratio'!J34</f>
        <v>70.418056496096355</v>
      </c>
      <c r="E34" s="12">
        <v>59.810666778489995</v>
      </c>
      <c r="F34" s="12">
        <f t="shared" si="0"/>
        <v>10.60738971760636</v>
      </c>
      <c r="G34" s="15" t="s">
        <v>46</v>
      </c>
    </row>
    <row r="35" spans="2:7" x14ac:dyDescent="0.2">
      <c r="B35" s="8">
        <v>2022</v>
      </c>
      <c r="C35" s="6">
        <v>2541844</v>
      </c>
      <c r="D35" s="12">
        <f>'loss reserve and loss ratio'!J35</f>
        <v>71.330599222063981</v>
      </c>
      <c r="E35" s="12">
        <v>59.810666778489995</v>
      </c>
      <c r="F35" s="12">
        <f t="shared" si="0"/>
        <v>11.519932443573985</v>
      </c>
      <c r="G35" s="15" t="s">
        <v>46</v>
      </c>
    </row>
    <row r="36" spans="2:7" x14ac:dyDescent="0.2">
      <c r="B36" s="8">
        <v>2023</v>
      </c>
      <c r="C36" s="6">
        <v>2747077</v>
      </c>
      <c r="D36" s="12">
        <f>'loss reserve and loss ratio'!J36</f>
        <v>73.189360164303636</v>
      </c>
      <c r="E36" s="12">
        <v>59.810666778489995</v>
      </c>
      <c r="F36" s="12">
        <f t="shared" si="0"/>
        <v>13.378693385813641</v>
      </c>
      <c r="G36" s="15" t="s">
        <v>46</v>
      </c>
    </row>
    <row r="37" spans="2:7" x14ac:dyDescent="0.2">
      <c r="B37" s="8">
        <v>2024</v>
      </c>
      <c r="C37" s="6">
        <v>3080025</v>
      </c>
      <c r="D37" s="12">
        <f>'loss reserve and loss ratio'!J37</f>
        <v>52.518418223724403</v>
      </c>
      <c r="E37" s="12">
        <v>59.810666778489995</v>
      </c>
      <c r="F37" s="12">
        <f t="shared" si="0"/>
        <v>-7.2922485547655924</v>
      </c>
      <c r="G37" s="14" t="s">
        <v>45</v>
      </c>
    </row>
    <row r="38" spans="2:7" x14ac:dyDescent="0.2">
      <c r="B38" s="8">
        <v>2025</v>
      </c>
      <c r="C38" s="6">
        <v>3436250</v>
      </c>
      <c r="D38" s="12">
        <f>'loss reserve and loss ratio'!J38</f>
        <v>40.43426766764631</v>
      </c>
      <c r="E38" s="12">
        <v>59.810666778489995</v>
      </c>
      <c r="F38" s="12">
        <f t="shared" si="0"/>
        <v>-19.376399110843685</v>
      </c>
      <c r="G38" s="14" t="s">
        <v>45</v>
      </c>
    </row>
    <row r="46" spans="2:7" x14ac:dyDescent="0.2">
      <c r="B46" s="8" t="s">
        <v>30</v>
      </c>
      <c r="C46" s="8" t="s">
        <v>36</v>
      </c>
      <c r="D46" s="8" t="s">
        <v>40</v>
      </c>
      <c r="E46" s="8" t="s">
        <v>41</v>
      </c>
      <c r="F46" s="8" t="s">
        <v>42</v>
      </c>
      <c r="G46" s="8" t="s">
        <v>43</v>
      </c>
    </row>
    <row r="47" spans="2:7" x14ac:dyDescent="0.2">
      <c r="B47" s="8">
        <v>2016</v>
      </c>
      <c r="C47" s="6">
        <v>2508132</v>
      </c>
      <c r="D47" s="12">
        <f>'loss reserve and loss ratio'!J47</f>
        <v>70.799622986350002</v>
      </c>
      <c r="E47" s="12">
        <v>62.685600658967701</v>
      </c>
      <c r="F47" s="12">
        <f>D47-E47</f>
        <v>8.1140223273823011</v>
      </c>
      <c r="G47" s="15" t="s">
        <v>46</v>
      </c>
    </row>
    <row r="48" spans="2:7" x14ac:dyDescent="0.2">
      <c r="B48" s="8">
        <v>2017</v>
      </c>
      <c r="C48" s="6">
        <v>2491065</v>
      </c>
      <c r="D48" s="12">
        <f>'loss reserve and loss ratio'!J48</f>
        <v>63.831183720714236</v>
      </c>
      <c r="E48" s="12">
        <v>62.685600658967701</v>
      </c>
      <c r="F48" s="12">
        <f>D48-E48</f>
        <v>1.1455830617465352</v>
      </c>
      <c r="G48" s="8" t="s">
        <v>44</v>
      </c>
    </row>
    <row r="49" spans="2:7" x14ac:dyDescent="0.2">
      <c r="B49" s="8">
        <v>2018</v>
      </c>
      <c r="C49" s="6">
        <v>2348804</v>
      </c>
      <c r="D49" s="12">
        <f>'loss reserve and loss ratio'!J49</f>
        <v>62.332008691927108</v>
      </c>
      <c r="E49" s="12">
        <v>62.685600658967701</v>
      </c>
      <c r="F49" s="12">
        <f t="shared" ref="F49:F56" si="1">D49-E49</f>
        <v>-0.35359196704059315</v>
      </c>
      <c r="G49" s="8" t="s">
        <v>44</v>
      </c>
    </row>
    <row r="50" spans="2:7" x14ac:dyDescent="0.2">
      <c r="B50" s="8">
        <v>2019</v>
      </c>
      <c r="C50" s="6">
        <v>2391144</v>
      </c>
      <c r="D50" s="12">
        <f>'loss reserve and loss ratio'!J50</f>
        <v>62.468162212693755</v>
      </c>
      <c r="E50" s="12">
        <v>62.685600658967701</v>
      </c>
      <c r="F50" s="12">
        <f t="shared" si="1"/>
        <v>-0.21743844627394537</v>
      </c>
      <c r="G50" s="8" t="s">
        <v>44</v>
      </c>
    </row>
    <row r="51" spans="2:7" x14ac:dyDescent="0.2">
      <c r="B51" s="8">
        <v>2020</v>
      </c>
      <c r="C51" s="6">
        <v>2376625</v>
      </c>
      <c r="D51" s="12">
        <f>'loss reserve and loss ratio'!J51</f>
        <v>49.676166446514763</v>
      </c>
      <c r="E51" s="12">
        <v>62.685600658967701</v>
      </c>
      <c r="F51" s="12">
        <f t="shared" si="1"/>
        <v>-13.009434212452938</v>
      </c>
      <c r="G51" s="14" t="s">
        <v>45</v>
      </c>
    </row>
    <row r="52" spans="2:7" x14ac:dyDescent="0.2">
      <c r="B52" s="8">
        <v>2021</v>
      </c>
      <c r="C52" s="6">
        <v>2561499</v>
      </c>
      <c r="D52" s="12">
        <f>'loss reserve and loss ratio'!J52</f>
        <v>59.971731376203564</v>
      </c>
      <c r="E52" s="12">
        <v>62.685600658967701</v>
      </c>
      <c r="F52" s="12">
        <f t="shared" si="1"/>
        <v>-2.7138692827641364</v>
      </c>
      <c r="G52" s="8" t="s">
        <v>44</v>
      </c>
    </row>
    <row r="53" spans="2:7" x14ac:dyDescent="0.2">
      <c r="B53" s="8">
        <v>2022</v>
      </c>
      <c r="C53" s="6">
        <v>2667863</v>
      </c>
      <c r="D53" s="12">
        <f>'loss reserve and loss ratio'!J53</f>
        <v>66.237321634155592</v>
      </c>
      <c r="E53" s="12">
        <v>62.685600658967701</v>
      </c>
      <c r="F53" s="12">
        <f t="shared" si="1"/>
        <v>3.5517209751878909</v>
      </c>
      <c r="G53" s="8" t="s">
        <v>44</v>
      </c>
    </row>
    <row r="54" spans="2:7" x14ac:dyDescent="0.2">
      <c r="B54" s="8">
        <v>2023</v>
      </c>
      <c r="C54" s="6">
        <v>2670560</v>
      </c>
      <c r="D54" s="12">
        <f>'loss reserve and loss ratio'!J54</f>
        <v>67.772636768682588</v>
      </c>
      <c r="E54" s="12">
        <v>62.685600658967701</v>
      </c>
      <c r="F54" s="12">
        <f t="shared" si="1"/>
        <v>5.0870361097148873</v>
      </c>
      <c r="G54" s="15" t="s">
        <v>46</v>
      </c>
    </row>
    <row r="55" spans="2:7" x14ac:dyDescent="0.2">
      <c r="B55" s="8">
        <v>2024</v>
      </c>
      <c r="C55" s="6">
        <v>2673601</v>
      </c>
      <c r="D55" s="12">
        <f>'loss reserve and loss ratio'!J55</f>
        <v>62.267704940177474</v>
      </c>
      <c r="E55" s="12">
        <v>62.685600658967701</v>
      </c>
      <c r="F55" s="12">
        <f t="shared" si="1"/>
        <v>-0.41789571879022702</v>
      </c>
      <c r="G55" s="8" t="s">
        <v>44</v>
      </c>
    </row>
    <row r="56" spans="2:7" x14ac:dyDescent="0.2">
      <c r="B56" s="8">
        <v>2025</v>
      </c>
      <c r="C56" s="6">
        <v>2807550</v>
      </c>
      <c r="D56" s="12">
        <f>'loss reserve and loss ratio'!J56</f>
        <v>60.574275933340616</v>
      </c>
      <c r="E56" s="12">
        <v>62.685600658967701</v>
      </c>
      <c r="F56" s="12">
        <f t="shared" si="1"/>
        <v>-2.1113247256270853</v>
      </c>
      <c r="G56" s="8" t="s">
        <v>44</v>
      </c>
    </row>
    <row r="64" spans="2:7" x14ac:dyDescent="0.2">
      <c r="B64" s="8" t="s">
        <v>30</v>
      </c>
      <c r="C64" s="8" t="s">
        <v>36</v>
      </c>
      <c r="D64" s="8" t="s">
        <v>40</v>
      </c>
      <c r="E64" s="8" t="s">
        <v>41</v>
      </c>
      <c r="F64" s="8" t="s">
        <v>42</v>
      </c>
      <c r="G64" s="8" t="s">
        <v>43</v>
      </c>
    </row>
    <row r="65" spans="2:7" x14ac:dyDescent="0.2">
      <c r="B65" s="8">
        <v>2016</v>
      </c>
      <c r="C65" s="6">
        <v>101054</v>
      </c>
      <c r="D65" s="12">
        <f>'loss reserve and loss ratio'!J65</f>
        <v>65.805410968393147</v>
      </c>
      <c r="E65" s="12">
        <v>71.202512911790777</v>
      </c>
      <c r="F65" s="12">
        <f>D65-E65</f>
        <v>-5.3971019433976295</v>
      </c>
      <c r="G65" s="14" t="s">
        <v>45</v>
      </c>
    </row>
    <row r="66" spans="2:7" x14ac:dyDescent="0.2">
      <c r="B66" s="8">
        <v>2017</v>
      </c>
      <c r="C66" s="6">
        <v>99499</v>
      </c>
      <c r="D66" s="12">
        <f>'loss reserve and loss ratio'!J66</f>
        <v>66.294003722604955</v>
      </c>
      <c r="E66" s="12">
        <v>71.202512911790777</v>
      </c>
      <c r="F66" s="12">
        <f>D66-E66</f>
        <v>-4.9085091891858212</v>
      </c>
      <c r="G66" s="8" t="s">
        <v>44</v>
      </c>
    </row>
    <row r="67" spans="2:7" x14ac:dyDescent="0.2">
      <c r="B67" s="8">
        <v>2018</v>
      </c>
      <c r="C67" s="6">
        <v>121491</v>
      </c>
      <c r="D67" s="12">
        <f>'loss reserve and loss ratio'!J67</f>
        <v>80.873405852254095</v>
      </c>
      <c r="E67" s="12">
        <v>71.202512911790777</v>
      </c>
      <c r="F67" s="12">
        <f t="shared" ref="F67:F74" si="2">D67-E67</f>
        <v>9.6708929404633182</v>
      </c>
      <c r="G67" s="15" t="s">
        <v>46</v>
      </c>
    </row>
    <row r="68" spans="2:7" x14ac:dyDescent="0.2">
      <c r="B68" s="8">
        <v>2019</v>
      </c>
      <c r="C68" s="6">
        <v>131570</v>
      </c>
      <c r="D68" s="12">
        <f>'loss reserve and loss ratio'!J68</f>
        <v>86.635873154473742</v>
      </c>
      <c r="E68" s="12">
        <v>71.202512911790777</v>
      </c>
      <c r="F68" s="12">
        <f t="shared" si="2"/>
        <v>15.433360242682966</v>
      </c>
      <c r="G68" s="15" t="s">
        <v>46</v>
      </c>
    </row>
    <row r="69" spans="2:7" x14ac:dyDescent="0.2">
      <c r="B69" s="8">
        <v>2020</v>
      </c>
      <c r="C69" s="6">
        <v>153861</v>
      </c>
      <c r="D69" s="12">
        <f>'loss reserve and loss ratio'!J69</f>
        <v>73.216415809915077</v>
      </c>
      <c r="E69" s="12">
        <v>71.202512911790777</v>
      </c>
      <c r="F69" s="12">
        <f t="shared" si="2"/>
        <v>2.0139028981243001</v>
      </c>
      <c r="G69" s="8" t="s">
        <v>44</v>
      </c>
    </row>
    <row r="70" spans="2:7" x14ac:dyDescent="0.2">
      <c r="B70" s="8">
        <v>2021</v>
      </c>
      <c r="C70" s="6">
        <v>191274</v>
      </c>
      <c r="D70" s="12">
        <f>'loss reserve and loss ratio'!J70</f>
        <v>79.532897132591629</v>
      </c>
      <c r="E70" s="12">
        <v>71.202512911790777</v>
      </c>
      <c r="F70" s="12">
        <f t="shared" si="2"/>
        <v>8.3303842208008518</v>
      </c>
      <c r="G70" s="15" t="s">
        <v>46</v>
      </c>
    </row>
    <row r="71" spans="2:7" x14ac:dyDescent="0.2">
      <c r="B71" s="8">
        <v>2022</v>
      </c>
      <c r="C71" s="6">
        <v>292332</v>
      </c>
      <c r="D71" s="12">
        <f>'loss reserve and loss ratio'!J71</f>
        <v>69.20902473462165</v>
      </c>
      <c r="E71" s="12">
        <v>71.202512911790777</v>
      </c>
      <c r="F71" s="12">
        <f t="shared" si="2"/>
        <v>-1.9934881771691266</v>
      </c>
      <c r="G71" s="8" t="s">
        <v>44</v>
      </c>
    </row>
    <row r="72" spans="2:7" x14ac:dyDescent="0.2">
      <c r="B72" s="8">
        <v>2023</v>
      </c>
      <c r="C72" s="6">
        <v>197854</v>
      </c>
      <c r="D72" s="12">
        <f>'loss reserve and loss ratio'!J72</f>
        <v>67.189487811490395</v>
      </c>
      <c r="E72" s="12">
        <v>71.202512911790777</v>
      </c>
      <c r="F72" s="12">
        <f t="shared" si="2"/>
        <v>-4.0130251003003821</v>
      </c>
      <c r="G72" s="8" t="s">
        <v>44</v>
      </c>
    </row>
    <row r="73" spans="2:7" x14ac:dyDescent="0.2">
      <c r="B73" s="8">
        <v>2024</v>
      </c>
      <c r="C73" s="6">
        <v>197183</v>
      </c>
      <c r="D73" s="12">
        <f>'loss reserve and loss ratio'!J73</f>
        <v>71.172639053153219</v>
      </c>
      <c r="E73" s="12">
        <v>71.202512911790777</v>
      </c>
      <c r="F73" s="12">
        <f t="shared" si="2"/>
        <v>-2.987385863755776E-2</v>
      </c>
      <c r="G73" s="8" t="s">
        <v>44</v>
      </c>
    </row>
    <row r="74" spans="2:7" x14ac:dyDescent="0.2">
      <c r="B74" s="8">
        <v>2025</v>
      </c>
      <c r="C74" s="6">
        <v>256817</v>
      </c>
      <c r="D74" s="12">
        <f>'loss reserve and loss ratio'!J74</f>
        <v>60.719148804493742</v>
      </c>
      <c r="E74" s="12">
        <v>71.202512911790777</v>
      </c>
      <c r="F74" s="12">
        <f t="shared" si="2"/>
        <v>-10.483364107297035</v>
      </c>
      <c r="G74" s="14" t="s">
        <v>45</v>
      </c>
    </row>
    <row r="82" spans="2:7" x14ac:dyDescent="0.2">
      <c r="B82" s="8" t="s">
        <v>30</v>
      </c>
      <c r="C82" s="8" t="s">
        <v>36</v>
      </c>
      <c r="D82" s="8" t="s">
        <v>40</v>
      </c>
      <c r="E82" s="8" t="s">
        <v>41</v>
      </c>
      <c r="F82" s="8" t="s">
        <v>42</v>
      </c>
      <c r="G82" s="8" t="s">
        <v>43</v>
      </c>
    </row>
    <row r="83" spans="2:7" x14ac:dyDescent="0.2">
      <c r="B83" s="8">
        <v>2016</v>
      </c>
      <c r="C83" s="6">
        <v>174256</v>
      </c>
      <c r="D83" s="12">
        <f>'loss reserve and loss ratio'!J83</f>
        <v>37.312345055550452</v>
      </c>
      <c r="E83" s="12">
        <v>39.650192191900793</v>
      </c>
      <c r="F83" s="12">
        <f>D83-E83</f>
        <v>-2.3378471363503408</v>
      </c>
      <c r="G83" s="8" t="s">
        <v>44</v>
      </c>
    </row>
    <row r="84" spans="2:7" x14ac:dyDescent="0.2">
      <c r="B84" s="8">
        <v>2017</v>
      </c>
      <c r="C84" s="6">
        <v>147322</v>
      </c>
      <c r="D84" s="12">
        <f>'loss reserve and loss ratio'!J84</f>
        <v>33.672682191995165</v>
      </c>
      <c r="E84" s="12">
        <v>39.650192191900793</v>
      </c>
      <c r="F84" s="12">
        <f>D84-E84</f>
        <v>-5.977509999905628</v>
      </c>
      <c r="G84" s="14" t="s">
        <v>45</v>
      </c>
    </row>
    <row r="85" spans="2:7" x14ac:dyDescent="0.2">
      <c r="B85" s="8">
        <v>2018</v>
      </c>
      <c r="C85" s="6">
        <v>135256</v>
      </c>
      <c r="D85" s="12">
        <f>'loss reserve and loss ratio'!J85</f>
        <v>36.524181890773782</v>
      </c>
      <c r="E85" s="12">
        <v>39.650192191900793</v>
      </c>
      <c r="F85" s="12">
        <f t="shared" ref="F85:F92" si="3">D85-E85</f>
        <v>-3.1260103011270104</v>
      </c>
      <c r="G85" s="8" t="s">
        <v>44</v>
      </c>
    </row>
    <row r="86" spans="2:7" x14ac:dyDescent="0.2">
      <c r="B86" s="8">
        <v>2019</v>
      </c>
      <c r="C86" s="6">
        <v>108262</v>
      </c>
      <c r="D86" s="12">
        <f>'loss reserve and loss ratio'!J86</f>
        <v>40.95336631356242</v>
      </c>
      <c r="E86" s="12">
        <v>39.650192191900793</v>
      </c>
      <c r="F86" s="12">
        <f t="shared" si="3"/>
        <v>1.3031741216616268</v>
      </c>
      <c r="G86" s="8" t="s">
        <v>44</v>
      </c>
    </row>
    <row r="87" spans="2:7" x14ac:dyDescent="0.2">
      <c r="B87" s="8">
        <v>2020</v>
      </c>
      <c r="C87" s="6">
        <v>87903</v>
      </c>
      <c r="D87" s="12">
        <f>'loss reserve and loss ratio'!J87</f>
        <v>49.410523866683391</v>
      </c>
      <c r="E87" s="12">
        <v>39.650192191900793</v>
      </c>
      <c r="F87" s="12">
        <f t="shared" si="3"/>
        <v>9.7603316747825986</v>
      </c>
      <c r="G87" s="15" t="s">
        <v>46</v>
      </c>
    </row>
    <row r="88" spans="2:7" x14ac:dyDescent="0.2">
      <c r="B88" s="8">
        <v>2021</v>
      </c>
      <c r="C88" s="6">
        <v>87925</v>
      </c>
      <c r="D88" s="12">
        <f>'loss reserve and loss ratio'!J88</f>
        <v>41.713190014950747</v>
      </c>
      <c r="E88" s="12">
        <v>39.650192191900793</v>
      </c>
      <c r="F88" s="12">
        <f t="shared" si="3"/>
        <v>2.0629978230499546</v>
      </c>
      <c r="G88" s="8" t="s">
        <v>44</v>
      </c>
    </row>
    <row r="89" spans="2:7" x14ac:dyDescent="0.2">
      <c r="B89" s="8">
        <v>2022</v>
      </c>
      <c r="C89" s="6">
        <v>96420</v>
      </c>
      <c r="D89" s="12">
        <f>'loss reserve and loss ratio'!J89</f>
        <v>42.157077942215928</v>
      </c>
      <c r="E89" s="12">
        <v>39.650192191900793</v>
      </c>
      <c r="F89" s="12">
        <f t="shared" si="3"/>
        <v>2.5068857503151349</v>
      </c>
      <c r="G89" s="8" t="s">
        <v>44</v>
      </c>
    </row>
    <row r="90" spans="2:7" x14ac:dyDescent="0.2">
      <c r="B90" s="8">
        <v>2023</v>
      </c>
      <c r="C90" s="6">
        <v>95150</v>
      </c>
      <c r="D90" s="12">
        <f>'loss reserve and loss ratio'!J90</f>
        <v>38.333584828131492</v>
      </c>
      <c r="E90" s="12">
        <v>39.650192191900793</v>
      </c>
      <c r="F90" s="12">
        <f t="shared" si="3"/>
        <v>-1.3166073637693003</v>
      </c>
      <c r="G90" s="8" t="s">
        <v>44</v>
      </c>
    </row>
    <row r="91" spans="2:7" x14ac:dyDescent="0.2">
      <c r="B91" s="8">
        <v>2024</v>
      </c>
      <c r="C91" s="6">
        <v>77722</v>
      </c>
      <c r="D91" s="12">
        <f>'loss reserve and loss ratio'!J91</f>
        <v>42.075325878219822</v>
      </c>
      <c r="E91" s="12">
        <v>39.650192191900793</v>
      </c>
      <c r="F91" s="12">
        <f t="shared" si="3"/>
        <v>2.4251336863190289</v>
      </c>
      <c r="G91" s="8" t="s">
        <v>44</v>
      </c>
    </row>
    <row r="92" spans="2:7" x14ac:dyDescent="0.2">
      <c r="B92" s="8">
        <v>2025</v>
      </c>
      <c r="C92" s="6">
        <v>66742</v>
      </c>
      <c r="D92" s="12">
        <f>'loss reserve and loss ratio'!J92</f>
        <v>43.028178149423212</v>
      </c>
      <c r="E92" s="12">
        <v>39.650192191900793</v>
      </c>
      <c r="F92" s="12">
        <f t="shared" si="3"/>
        <v>3.3779859575224194</v>
      </c>
      <c r="G92" s="8" t="s">
        <v>44</v>
      </c>
    </row>
    <row r="100" spans="2:7" x14ac:dyDescent="0.2">
      <c r="B100" s="8" t="s">
        <v>30</v>
      </c>
      <c r="C100" s="8" t="s">
        <v>36</v>
      </c>
      <c r="D100" s="8" t="s">
        <v>40</v>
      </c>
      <c r="E100" s="8" t="s">
        <v>41</v>
      </c>
      <c r="F100" s="8" t="s">
        <v>42</v>
      </c>
      <c r="G100" s="8" t="s">
        <v>43</v>
      </c>
    </row>
    <row r="101" spans="2:7" x14ac:dyDescent="0.2">
      <c r="B101" s="8">
        <v>2016</v>
      </c>
      <c r="C101" s="6">
        <v>608671</v>
      </c>
      <c r="D101" s="12">
        <f>'loss reserve and loss ratio'!J101</f>
        <v>57.124127812890713</v>
      </c>
      <c r="E101" s="12">
        <v>59.829430157978457</v>
      </c>
      <c r="F101" s="12">
        <f>D101-E101</f>
        <v>-2.7053023450877447</v>
      </c>
      <c r="G101" s="8" t="s">
        <v>44</v>
      </c>
    </row>
    <row r="102" spans="2:7" x14ac:dyDescent="0.2">
      <c r="B102" s="8">
        <v>2017</v>
      </c>
      <c r="C102" s="6">
        <v>552494</v>
      </c>
      <c r="D102" s="12">
        <f>'loss reserve and loss ratio'!J102</f>
        <v>62.027136152088204</v>
      </c>
      <c r="E102" s="12">
        <v>59.829430157978457</v>
      </c>
      <c r="F102" s="12">
        <f>D102-E102</f>
        <v>2.1977059941097465</v>
      </c>
      <c r="G102" s="8" t="s">
        <v>44</v>
      </c>
    </row>
    <row r="103" spans="2:7" x14ac:dyDescent="0.2">
      <c r="B103" s="8">
        <v>2018</v>
      </c>
      <c r="C103" s="6">
        <v>553910</v>
      </c>
      <c r="D103" s="12">
        <f>'loss reserve and loss ratio'!J103</f>
        <v>65.948273248351157</v>
      </c>
      <c r="E103" s="12">
        <v>59.829430157978457</v>
      </c>
      <c r="F103" s="12">
        <f t="shared" ref="F103:F110" si="4">D103-E103</f>
        <v>6.1188430903726996</v>
      </c>
      <c r="G103" s="15" t="s">
        <v>46</v>
      </c>
    </row>
    <row r="104" spans="2:7" x14ac:dyDescent="0.2">
      <c r="B104" s="8">
        <v>2019</v>
      </c>
      <c r="C104" s="6">
        <v>537217</v>
      </c>
      <c r="D104" s="12">
        <f>'loss reserve and loss ratio'!J104</f>
        <v>64.497631514897648</v>
      </c>
      <c r="E104" s="12">
        <v>59.829430157978457</v>
      </c>
      <c r="F104" s="12">
        <f t="shared" si="4"/>
        <v>4.6682013569191909</v>
      </c>
      <c r="G104" s="8" t="s">
        <v>44</v>
      </c>
    </row>
    <row r="105" spans="2:7" x14ac:dyDescent="0.2">
      <c r="B105" s="8">
        <v>2020</v>
      </c>
      <c r="C105" s="6">
        <v>559541</v>
      </c>
      <c r="D105" s="12">
        <f>'loss reserve and loss ratio'!J105</f>
        <v>62.31679592234709</v>
      </c>
      <c r="E105" s="12">
        <v>59.829430157978457</v>
      </c>
      <c r="F105" s="12">
        <f t="shared" si="4"/>
        <v>2.4873657643686329</v>
      </c>
      <c r="G105" s="8" t="s">
        <v>44</v>
      </c>
    </row>
    <row r="106" spans="2:7" x14ac:dyDescent="0.2">
      <c r="B106" s="8">
        <v>2021</v>
      </c>
      <c r="C106" s="6">
        <v>537215</v>
      </c>
      <c r="D106" s="12">
        <f>'loss reserve and loss ratio'!J106</f>
        <v>67.155900264471839</v>
      </c>
      <c r="E106" s="12">
        <v>59.829430157978457</v>
      </c>
      <c r="F106" s="12">
        <f t="shared" si="4"/>
        <v>7.3264701064933817</v>
      </c>
      <c r="G106" s="15" t="s">
        <v>46</v>
      </c>
    </row>
    <row r="107" spans="2:7" x14ac:dyDescent="0.2">
      <c r="B107" s="8">
        <v>2022</v>
      </c>
      <c r="C107" s="6">
        <v>573669</v>
      </c>
      <c r="D107" s="12">
        <f>'loss reserve and loss ratio'!J107</f>
        <v>65.079070264454216</v>
      </c>
      <c r="E107" s="12">
        <v>59.829430157978457</v>
      </c>
      <c r="F107" s="12">
        <f t="shared" si="4"/>
        <v>5.2496401064757592</v>
      </c>
      <c r="G107" s="15" t="s">
        <v>46</v>
      </c>
    </row>
    <row r="108" spans="2:7" x14ac:dyDescent="0.2">
      <c r="B108" s="8">
        <v>2023</v>
      </c>
      <c r="C108" s="6">
        <v>601787</v>
      </c>
      <c r="D108" s="12">
        <f>'loss reserve and loss ratio'!J108</f>
        <v>65.422083658740988</v>
      </c>
      <c r="E108" s="12">
        <v>59.829430157978457</v>
      </c>
      <c r="F108" s="12">
        <f t="shared" si="4"/>
        <v>5.5926535007625304</v>
      </c>
      <c r="G108" s="15" t="s">
        <v>46</v>
      </c>
    </row>
    <row r="109" spans="2:7" x14ac:dyDescent="0.2">
      <c r="B109" s="8">
        <v>2024</v>
      </c>
      <c r="C109" s="6">
        <v>593909</v>
      </c>
      <c r="D109" s="12">
        <f>'loss reserve and loss ratio'!J109</f>
        <v>50.895554542555224</v>
      </c>
      <c r="E109" s="12">
        <v>59.829430157978457</v>
      </c>
      <c r="F109" s="12">
        <f t="shared" si="4"/>
        <v>-8.9338756154232328</v>
      </c>
      <c r="G109" s="14" t="s">
        <v>45</v>
      </c>
    </row>
    <row r="110" spans="2:7" x14ac:dyDescent="0.2">
      <c r="B110" s="8">
        <v>2025</v>
      </c>
      <c r="C110" s="6">
        <v>627414</v>
      </c>
      <c r="D110" s="12">
        <f>'loss reserve and loss ratio'!J110</f>
        <v>40.920685068744852</v>
      </c>
      <c r="E110" s="12">
        <v>59.829430157978457</v>
      </c>
      <c r="F110" s="12">
        <f t="shared" si="4"/>
        <v>-18.908745089233605</v>
      </c>
      <c r="G110" s="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loss development</vt:lpstr>
      <vt:lpstr>year to ultimate LDF</vt:lpstr>
      <vt:lpstr>loss reserve and loss ratio</vt:lpstr>
      <vt:lpstr>rate adequacy verdict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 Kandel</dc:creator>
  <cp:lastModifiedBy>Pushkar  Kandel</cp:lastModifiedBy>
  <dcterms:created xsi:type="dcterms:W3CDTF">2026-07-27T00:14:57Z</dcterms:created>
  <dcterms:modified xsi:type="dcterms:W3CDTF">2026-07-27T00:53:53Z</dcterms:modified>
</cp:coreProperties>
</file>