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ushkarkandel/Documents/Jobs/"/>
    </mc:Choice>
  </mc:AlternateContent>
  <xr:revisionPtr revIDLastSave="0" documentId="13_ncr:1_{7192DF95-F720-FB43-97D7-FFE0788D1A6C}" xr6:coauthVersionLast="47" xr6:coauthVersionMax="47" xr10:uidLastSave="{00000000-0000-0000-0000-000000000000}"/>
  <bookViews>
    <workbookView xWindow="0" yWindow="0" windowWidth="33600" windowHeight="21000" xr2:uid="{EACA7184-2F3F-9446-AC6A-FA093075A1B0}"/>
  </bookViews>
  <sheets>
    <sheet name="Loss Ratio Analysis" sheetId="1" r:id="rId1"/>
    <sheet name="Age to ultimate LDF 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88" i="2" l="1"/>
  <c r="J87" i="2"/>
  <c r="J86" i="2"/>
  <c r="J85" i="2"/>
  <c r="J84" i="2"/>
  <c r="J83" i="2"/>
  <c r="J82" i="2"/>
  <c r="J81" i="2"/>
  <c r="J80" i="2"/>
  <c r="J79" i="2"/>
  <c r="J71" i="2"/>
  <c r="J70" i="2"/>
  <c r="J69" i="2"/>
  <c r="J68" i="2"/>
  <c r="J67" i="2"/>
  <c r="J66" i="2"/>
  <c r="J65" i="2"/>
  <c r="J64" i="2"/>
  <c r="J63" i="2"/>
  <c r="J54" i="2"/>
  <c r="J53" i="2"/>
  <c r="J52" i="2"/>
  <c r="J51" i="2"/>
  <c r="J50" i="2"/>
  <c r="J49" i="2"/>
  <c r="J48" i="2"/>
  <c r="J47" i="2"/>
  <c r="J46" i="2"/>
  <c r="J45" i="2"/>
  <c r="J34" i="2"/>
  <c r="J33" i="2"/>
  <c r="J32" i="2"/>
  <c r="J31" i="2"/>
  <c r="J30" i="2"/>
  <c r="J29" i="2"/>
  <c r="J28" i="2"/>
  <c r="J27" i="2"/>
  <c r="J26" i="2"/>
  <c r="J25" i="2"/>
  <c r="J16" i="2"/>
  <c r="J15" i="2"/>
  <c r="J14" i="2"/>
  <c r="J13" i="2"/>
  <c r="J12" i="2"/>
  <c r="J11" i="2"/>
  <c r="J10" i="2"/>
  <c r="J9" i="2"/>
  <c r="J8" i="2"/>
  <c r="J7" i="2"/>
  <c r="K123" i="1"/>
  <c r="K122" i="1"/>
  <c r="K121" i="1"/>
  <c r="K120" i="1"/>
  <c r="K119" i="1"/>
  <c r="K118" i="1"/>
  <c r="K117" i="1"/>
  <c r="K116" i="1"/>
  <c r="K115" i="1"/>
  <c r="K114" i="1"/>
  <c r="K105" i="1"/>
  <c r="K104" i="1"/>
  <c r="K103" i="1"/>
  <c r="K102" i="1"/>
  <c r="K101" i="1"/>
  <c r="K100" i="1"/>
  <c r="K99" i="1"/>
  <c r="K98" i="1"/>
  <c r="K97" i="1"/>
  <c r="K96" i="1"/>
  <c r="K85" i="1"/>
  <c r="K84" i="1"/>
  <c r="K83" i="1"/>
  <c r="K82" i="1"/>
  <c r="K81" i="1"/>
  <c r="K80" i="1"/>
  <c r="K79" i="1"/>
  <c r="K78" i="1"/>
  <c r="K77" i="1"/>
  <c r="K76" i="1"/>
  <c r="K61" i="1"/>
  <c r="K60" i="1"/>
  <c r="K59" i="1"/>
  <c r="K58" i="1"/>
  <c r="K57" i="1"/>
  <c r="K56" i="1"/>
  <c r="K55" i="1"/>
  <c r="K54" i="1"/>
  <c r="K53" i="1"/>
  <c r="K52" i="1"/>
  <c r="I14" i="1"/>
  <c r="K39" i="1"/>
  <c r="K38" i="1"/>
  <c r="K37" i="1"/>
  <c r="K36" i="1"/>
  <c r="K35" i="1"/>
  <c r="K34" i="1"/>
  <c r="K33" i="1"/>
  <c r="K32" i="1"/>
  <c r="K31" i="1"/>
  <c r="K30" i="1"/>
  <c r="K14" i="1"/>
  <c r="H14" i="1"/>
  <c r="G14" i="1"/>
  <c r="F14" i="1"/>
</calcChain>
</file>

<file path=xl/sharedStrings.xml><?xml version="1.0" encoding="utf-8"?>
<sst xmlns="http://schemas.openxmlformats.org/spreadsheetml/2006/main" count="156" uniqueCount="39">
  <si>
    <t>Insurance Companies</t>
  </si>
  <si>
    <t>Farmers Insurance</t>
  </si>
  <si>
    <t>Liberty Mutual</t>
  </si>
  <si>
    <t>All State</t>
  </si>
  <si>
    <t>Travelers</t>
  </si>
  <si>
    <t>Zurich</t>
  </si>
  <si>
    <t>Average Loss Ratio on different lines of businesss</t>
  </si>
  <si>
    <t>COMMERCIAL AUTO/TRUCK LIABILITY/MEDICAL</t>
  </si>
  <si>
    <t>COMBINED ACROSS ALL BUSINESS</t>
  </si>
  <si>
    <t>HOMEOWNERS AND FARMOWNERS</t>
  </si>
  <si>
    <t>PRIVATE PASSENGER AUTO LIABILITY/MEDICAL</t>
  </si>
  <si>
    <t>WORKERS COMPENSATION</t>
  </si>
  <si>
    <t>COMMERCIAL MULTIPLE PERIL</t>
  </si>
  <si>
    <t>NO INFORMATION</t>
  </si>
  <si>
    <t xml:space="preserve">AVERAGE </t>
  </si>
  <si>
    <t xml:space="preserve">Loss Ratio of Homeowners and Farmowners </t>
  </si>
  <si>
    <t>YEAR</t>
  </si>
  <si>
    <t>AVERAGE</t>
  </si>
  <si>
    <t>Loss Ratio of Private Passenger Auto</t>
  </si>
  <si>
    <t>Loss Ratio of Commercial  Auto Truck Liability</t>
  </si>
  <si>
    <t>No Informatiion</t>
  </si>
  <si>
    <t>Loss Ratio of Workers Compensation</t>
  </si>
  <si>
    <t>Loss Ratio of Commercial Multiple Peril</t>
  </si>
  <si>
    <t xml:space="preserve">Age to Ultimate LDF of Homeowners and Farmowners </t>
  </si>
  <si>
    <t>Age to Ultimate LDF of Private Passenger Auto</t>
  </si>
  <si>
    <t>Age to Ultimate LDF of Commercial Multiple Peril</t>
  </si>
  <si>
    <t>Age to Ultimate LDF of Workers Compensation</t>
  </si>
  <si>
    <t>Age to Ultimate LDF of Commercial  Auto Truck Liability</t>
  </si>
  <si>
    <t>1 to ultimate</t>
  </si>
  <si>
    <t>2 to ultimate</t>
  </si>
  <si>
    <t>3 to ultimate</t>
  </si>
  <si>
    <t>4 to ultimate</t>
  </si>
  <si>
    <t>5 to ultimate</t>
  </si>
  <si>
    <t>6 to ultimate</t>
  </si>
  <si>
    <t>7 to ultimate</t>
  </si>
  <si>
    <t>8 to ultimate</t>
  </si>
  <si>
    <t>9 to ultimate</t>
  </si>
  <si>
    <t>10 to ultimate</t>
  </si>
  <si>
    <t>No 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</si>
</sst>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4"/>
      <color theme="1"/>
      <name val="Aptos Display"/>
      <scheme val="major"/>
    </font>
    <font>
      <sz val="12"/>
      <color theme="1"/>
      <name val="Aptos Narrow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2" fontId="0" fillId="0" borderId="0" xfId="0" applyNumberFormat="1"/>
    <xf numFmtId="2" fontId="2" fillId="0" borderId="0" xfId="0" applyNumberFormat="1" applyFont="1"/>
    <xf numFmtId="0" fontId="1" fillId="2" borderId="0" xfId="0" applyFont="1" applyFill="1"/>
    <xf numFmtId="0" fontId="0" fillId="2" borderId="0" xfId="0" applyFill="1"/>
    <xf numFmtId="0" fontId="0" fillId="3" borderId="0" xfId="0" applyFill="1"/>
    <xf numFmtId="0" fontId="0" fillId="4" borderId="0" xfId="0" applyFill="1"/>
    <xf numFmtId="2" fontId="0" fillId="4" borderId="0" xfId="0" applyNumberFormat="1" applyFill="1"/>
    <xf numFmtId="0" fontId="0" fillId="5" borderId="0" xfId="0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0A8A9-2BA1-4C4C-B00D-8516A3447585}">
  <dimension ref="C7:K123"/>
  <sheetViews>
    <sheetView tabSelected="1" topLeftCell="E1" workbookViewId="0">
      <selection activeCell="D29" sqref="D29:K29"/>
    </sheetView>
  </sheetViews>
  <sheetFormatPr baseColWidth="10" defaultRowHeight="16" x14ac:dyDescent="0.2"/>
  <cols>
    <col min="4" max="4" width="21.83203125" bestFit="1" customWidth="1"/>
    <col min="5" max="5" width="48" bestFit="1" customWidth="1"/>
    <col min="6" max="6" width="29.83203125" bestFit="1" customWidth="1"/>
    <col min="7" max="7" width="30.83203125" bestFit="1" customWidth="1"/>
    <col min="8" max="8" width="39" bestFit="1" customWidth="1"/>
    <col min="9" max="9" width="40" bestFit="1" customWidth="1"/>
    <col min="10" max="10" width="23.6640625" bestFit="1" customWidth="1"/>
    <col min="11" max="11" width="25.83203125" bestFit="1" customWidth="1"/>
  </cols>
  <sheetData>
    <row r="7" spans="3:11" ht="18" x14ac:dyDescent="0.25">
      <c r="E7" s="1" t="s">
        <v>6</v>
      </c>
    </row>
    <row r="8" spans="3:11" ht="18" x14ac:dyDescent="0.25">
      <c r="D8" s="4" t="s">
        <v>0</v>
      </c>
      <c r="E8" s="6"/>
      <c r="F8" s="6" t="s">
        <v>8</v>
      </c>
      <c r="G8" s="6" t="s">
        <v>9</v>
      </c>
      <c r="H8" s="6" t="s">
        <v>10</v>
      </c>
      <c r="I8" s="6" t="s">
        <v>7</v>
      </c>
      <c r="J8" s="6" t="s">
        <v>11</v>
      </c>
      <c r="K8" s="6" t="s">
        <v>12</v>
      </c>
    </row>
    <row r="9" spans="3:11" x14ac:dyDescent="0.2">
      <c r="C9">
        <v>1</v>
      </c>
      <c r="D9" s="5" t="s">
        <v>1</v>
      </c>
      <c r="F9" t="s">
        <v>13</v>
      </c>
      <c r="G9" s="2">
        <v>59.810666778489995</v>
      </c>
      <c r="H9" s="2">
        <v>62.685600658967701</v>
      </c>
      <c r="I9" s="2">
        <v>71.202512911790777</v>
      </c>
      <c r="J9" s="2">
        <v>39.650192191900793</v>
      </c>
      <c r="K9" s="2">
        <v>59.829430157978457</v>
      </c>
    </row>
    <row r="10" spans="3:11" x14ac:dyDescent="0.2">
      <c r="C10">
        <v>2</v>
      </c>
      <c r="D10" s="5" t="s">
        <v>2</v>
      </c>
      <c r="F10">
        <v>60.28</v>
      </c>
      <c r="G10">
        <v>59.62</v>
      </c>
      <c r="H10" s="3">
        <v>67.386314673504415</v>
      </c>
      <c r="I10" s="3">
        <v>72.639307308130952</v>
      </c>
      <c r="J10" s="3">
        <v>44.289759715528227</v>
      </c>
      <c r="K10" s="2">
        <v>57.90585972159721</v>
      </c>
    </row>
    <row r="11" spans="3:11" x14ac:dyDescent="0.2">
      <c r="C11">
        <v>3</v>
      </c>
      <c r="D11" s="5" t="s">
        <v>3</v>
      </c>
      <c r="F11">
        <v>64.849999999999994</v>
      </c>
      <c r="G11">
        <v>62.45</v>
      </c>
      <c r="H11">
        <v>72.36</v>
      </c>
      <c r="I11">
        <v>103.83</v>
      </c>
      <c r="J11" t="s">
        <v>13</v>
      </c>
      <c r="K11">
        <v>53.4</v>
      </c>
    </row>
    <row r="12" spans="3:11" x14ac:dyDescent="0.2">
      <c r="C12">
        <v>4</v>
      </c>
      <c r="D12" s="5" t="s">
        <v>4</v>
      </c>
      <c r="F12">
        <v>56.71</v>
      </c>
      <c r="G12">
        <v>63.11</v>
      </c>
      <c r="H12">
        <v>65.37</v>
      </c>
      <c r="I12">
        <v>67.599999999999994</v>
      </c>
      <c r="J12">
        <v>46.67</v>
      </c>
      <c r="K12">
        <v>53.58</v>
      </c>
    </row>
    <row r="13" spans="3:11" x14ac:dyDescent="0.2">
      <c r="C13">
        <v>5</v>
      </c>
      <c r="D13" s="5" t="s">
        <v>5</v>
      </c>
      <c r="F13" s="3">
        <v>68.855233648513448</v>
      </c>
      <c r="G13" s="3">
        <v>62.378438429621319</v>
      </c>
      <c r="H13" s="3" t="s">
        <v>13</v>
      </c>
      <c r="I13" s="3">
        <v>85.935342935843877</v>
      </c>
      <c r="J13" s="2">
        <v>45.336059590033187</v>
      </c>
      <c r="K13" s="3">
        <v>73.423215928317461</v>
      </c>
    </row>
    <row r="14" spans="3:11" x14ac:dyDescent="0.2">
      <c r="E14" s="7" t="s">
        <v>14</v>
      </c>
      <c r="F14" s="8">
        <f>AVERAGE(F10:F13)</f>
        <v>62.673808412128366</v>
      </c>
      <c r="G14" s="8">
        <f>AVERAGE(G9:G13)</f>
        <v>61.473821041622259</v>
      </c>
      <c r="H14" s="8">
        <f>AVERAGE(H9:H12)</f>
        <v>66.950478833118027</v>
      </c>
      <c r="I14" s="8">
        <f>AVERAGE(I9:I13)</f>
        <v>80.241432631153117</v>
      </c>
      <c r="J14" s="8">
        <v>43.99</v>
      </c>
      <c r="K14" s="8">
        <f>AVERAGE(K9:K13)</f>
        <v>59.627701161578628</v>
      </c>
    </row>
    <row r="21" spans="4:11" ht="18" x14ac:dyDescent="0.25">
      <c r="E21" s="1"/>
    </row>
    <row r="27" spans="4:11" ht="18" x14ac:dyDescent="0.25">
      <c r="E27" s="1" t="s">
        <v>15</v>
      </c>
    </row>
    <row r="29" spans="4:11" x14ac:dyDescent="0.2">
      <c r="D29" s="5" t="s">
        <v>0</v>
      </c>
      <c r="E29" s="5"/>
      <c r="F29" s="5" t="s">
        <v>1</v>
      </c>
      <c r="G29" s="5" t="s">
        <v>2</v>
      </c>
      <c r="H29" s="5" t="s">
        <v>3</v>
      </c>
      <c r="I29" s="5" t="s">
        <v>4</v>
      </c>
      <c r="J29" s="5" t="s">
        <v>5</v>
      </c>
      <c r="K29" s="5" t="s">
        <v>17</v>
      </c>
    </row>
    <row r="30" spans="4:11" x14ac:dyDescent="0.2">
      <c r="D30" s="9">
        <v>2016</v>
      </c>
      <c r="F30" s="2">
        <v>55.115493077276923</v>
      </c>
      <c r="G30" s="2">
        <v>53.570735592483864</v>
      </c>
      <c r="H30" s="2">
        <v>54.365876610629662</v>
      </c>
      <c r="I30" s="2">
        <v>46.107239518643333</v>
      </c>
      <c r="J30" s="2">
        <v>67.131647776809061</v>
      </c>
      <c r="K30" s="8">
        <f>AVERAGE(F30:J30)</f>
        <v>55.258198515168566</v>
      </c>
    </row>
    <row r="31" spans="4:11" x14ac:dyDescent="0.2">
      <c r="D31" s="9">
        <v>2017</v>
      </c>
      <c r="F31" s="2">
        <v>59.674292913964379</v>
      </c>
      <c r="G31" s="2">
        <v>60.246571475832397</v>
      </c>
      <c r="H31" s="2">
        <v>59.217739350615709</v>
      </c>
      <c r="I31" s="2">
        <v>63.142316991115088</v>
      </c>
      <c r="J31" s="2">
        <v>52.313013402507572</v>
      </c>
      <c r="K31" s="8">
        <f>AVERAGE(F31:J31)</f>
        <v>58.918786826807022</v>
      </c>
    </row>
    <row r="32" spans="4:11" x14ac:dyDescent="0.2">
      <c r="D32" s="9">
        <v>2018</v>
      </c>
      <c r="F32" s="2">
        <v>57.814096550773421</v>
      </c>
      <c r="G32" s="2">
        <v>56.05838680516009</v>
      </c>
      <c r="H32" s="2">
        <v>59.908940821341098</v>
      </c>
      <c r="I32" s="2">
        <v>63.643522733182778</v>
      </c>
      <c r="J32" s="2">
        <v>70.135696727184552</v>
      </c>
      <c r="K32" s="8">
        <f>AVERAGE(F32:J32)</f>
        <v>61.512128727528385</v>
      </c>
    </row>
    <row r="33" spans="3:11" x14ac:dyDescent="0.2">
      <c r="C33" s="9" t="s">
        <v>16</v>
      </c>
      <c r="D33" s="9">
        <v>2019</v>
      </c>
      <c r="F33" s="2">
        <v>57.168343636972018</v>
      </c>
      <c r="G33" s="2">
        <v>56.47304869081794</v>
      </c>
      <c r="H33" s="2">
        <v>58.917787646992558</v>
      </c>
      <c r="I33" s="2">
        <v>60.912469443695962</v>
      </c>
      <c r="J33" s="2">
        <v>66.888877367165406</v>
      </c>
      <c r="K33" s="8">
        <f>AVERAGE(F33:J33)</f>
        <v>60.07210535712877</v>
      </c>
    </row>
    <row r="34" spans="3:11" x14ac:dyDescent="0.2">
      <c r="D34" s="9">
        <v>2020</v>
      </c>
      <c r="F34" s="2">
        <v>67.817969419263946</v>
      </c>
      <c r="G34" s="2">
        <v>63.229097084635008</v>
      </c>
      <c r="H34" s="2">
        <v>66.390992031800309</v>
      </c>
      <c r="I34" s="2">
        <v>64.392549891095868</v>
      </c>
      <c r="J34" s="2">
        <v>56.749814788152619</v>
      </c>
      <c r="K34" s="8">
        <f>AVERAGE(F34:J34)</f>
        <v>63.71608464298955</v>
      </c>
    </row>
    <row r="35" spans="3:11" x14ac:dyDescent="0.2">
      <c r="D35" s="9">
        <v>2021</v>
      </c>
      <c r="F35" s="2">
        <v>70.418056496096355</v>
      </c>
      <c r="G35" s="2">
        <v>71.454146565793508</v>
      </c>
      <c r="H35" s="2">
        <v>71.356158821229684</v>
      </c>
      <c r="I35" s="2">
        <v>67.069118646596849</v>
      </c>
      <c r="J35" s="2">
        <v>88.084839544188782</v>
      </c>
      <c r="K35" s="8">
        <f>AVERAGE(F35:J35)</f>
        <v>73.676464014781033</v>
      </c>
    </row>
    <row r="36" spans="3:11" x14ac:dyDescent="0.2">
      <c r="D36" s="9">
        <v>2022</v>
      </c>
      <c r="F36" s="2">
        <v>71.330599222063981</v>
      </c>
      <c r="G36" s="2">
        <v>66.598462372220041</v>
      </c>
      <c r="H36" s="2">
        <v>62.201553558748031</v>
      </c>
      <c r="I36" s="2">
        <v>70.36201387019284</v>
      </c>
      <c r="J36" s="2">
        <v>62.836772102065552</v>
      </c>
      <c r="K36" s="8">
        <f>AVERAGE(F36:J36)</f>
        <v>66.665880225058089</v>
      </c>
    </row>
    <row r="37" spans="3:11" x14ac:dyDescent="0.2">
      <c r="D37" s="9">
        <v>2023</v>
      </c>
      <c r="F37" s="2">
        <v>73.189360164303636</v>
      </c>
      <c r="G37" s="2">
        <v>72.291418019095104</v>
      </c>
      <c r="H37" s="2">
        <v>72.169590613846552</v>
      </c>
      <c r="I37" s="2">
        <v>71.56695392802385</v>
      </c>
      <c r="J37" s="2">
        <v>59.329748133497681</v>
      </c>
      <c r="K37" s="8">
        <f>AVERAGE(F37:J37)</f>
        <v>69.709414171753366</v>
      </c>
    </row>
    <row r="38" spans="3:11" x14ac:dyDescent="0.2">
      <c r="D38" s="9">
        <v>2024</v>
      </c>
      <c r="F38" s="2">
        <v>52.518418223724403</v>
      </c>
      <c r="G38" s="2">
        <v>51.031548159762053</v>
      </c>
      <c r="H38" s="2">
        <v>62.833193465476732</v>
      </c>
      <c r="I38" s="2">
        <v>61.612596315743708</v>
      </c>
      <c r="J38" s="2">
        <v>39.141662490575669</v>
      </c>
      <c r="K38" s="8">
        <f>AVERAGE(F38:J38)</f>
        <v>53.427483731056512</v>
      </c>
    </row>
    <row r="39" spans="3:11" x14ac:dyDescent="0.2">
      <c r="D39" s="9">
        <v>2025</v>
      </c>
      <c r="F39" s="2">
        <v>40.43426766764631</v>
      </c>
      <c r="G39" s="2">
        <v>47.409234209396274</v>
      </c>
      <c r="H39" s="2">
        <v>56.362304088992452</v>
      </c>
      <c r="I39" s="2">
        <v>56.802092384395131</v>
      </c>
      <c r="J39" s="2">
        <v>70.39918856388752</v>
      </c>
      <c r="K39" s="8">
        <f>AVERAGE(F39:J39)</f>
        <v>54.281417382863538</v>
      </c>
    </row>
    <row r="49" spans="3:11" ht="18" x14ac:dyDescent="0.25">
      <c r="E49" s="1" t="s">
        <v>18</v>
      </c>
    </row>
    <row r="51" spans="3:11" x14ac:dyDescent="0.2">
      <c r="D51" s="5" t="s">
        <v>0</v>
      </c>
      <c r="E51" s="5"/>
      <c r="F51" s="5" t="s">
        <v>1</v>
      </c>
      <c r="G51" s="5" t="s">
        <v>2</v>
      </c>
      <c r="H51" s="5" t="s">
        <v>3</v>
      </c>
      <c r="I51" s="5" t="s">
        <v>4</v>
      </c>
      <c r="J51" s="5" t="s">
        <v>5</v>
      </c>
      <c r="K51" s="5" t="s">
        <v>17</v>
      </c>
    </row>
    <row r="52" spans="3:11" x14ac:dyDescent="0.2">
      <c r="D52" s="9">
        <v>2016</v>
      </c>
      <c r="F52" s="2">
        <v>70.799622986350002</v>
      </c>
      <c r="G52" s="2">
        <v>75.581196658923915</v>
      </c>
      <c r="H52" s="2">
        <v>71.496318069667183</v>
      </c>
      <c r="I52" s="2">
        <v>71.090133149019962</v>
      </c>
      <c r="J52" s="2"/>
      <c r="K52" s="8">
        <f>AVERAGE(F52:I52)</f>
        <v>72.241817715990265</v>
      </c>
    </row>
    <row r="53" spans="3:11" x14ac:dyDescent="0.2">
      <c r="D53" s="9">
        <v>2017</v>
      </c>
      <c r="F53" s="2">
        <v>63.831183720714236</v>
      </c>
      <c r="G53" s="2">
        <v>70.612956177069435</v>
      </c>
      <c r="H53" s="2">
        <v>66.733174989767733</v>
      </c>
      <c r="I53" s="2">
        <v>69.716044616079699</v>
      </c>
      <c r="J53" s="2"/>
      <c r="K53" s="8">
        <f>AVERAGE(F53:I53)</f>
        <v>67.723339875907783</v>
      </c>
    </row>
    <row r="54" spans="3:11" x14ac:dyDescent="0.2">
      <c r="D54" s="9">
        <v>2018</v>
      </c>
      <c r="F54" s="2">
        <v>62.332008691927108</v>
      </c>
      <c r="G54" s="2">
        <v>67.049199777140046</v>
      </c>
      <c r="H54" s="2">
        <v>67.09625328770521</v>
      </c>
      <c r="I54" s="2">
        <v>65.283344972248528</v>
      </c>
      <c r="J54" s="2" t="s">
        <v>20</v>
      </c>
      <c r="K54" s="8">
        <f>AVERAGE(F54:I54)</f>
        <v>65.440201682255221</v>
      </c>
    </row>
    <row r="55" spans="3:11" x14ac:dyDescent="0.2">
      <c r="C55" s="9" t="s">
        <v>16</v>
      </c>
      <c r="D55" s="9">
        <v>2019</v>
      </c>
      <c r="F55" s="2">
        <v>62.468162212693755</v>
      </c>
      <c r="G55" s="2">
        <v>66.035738605032918</v>
      </c>
      <c r="H55" s="2">
        <v>70.250419944745644</v>
      </c>
      <c r="I55" s="2">
        <v>64.727426073394582</v>
      </c>
      <c r="J55" s="2"/>
      <c r="K55" s="8">
        <f>AVERAGE(F55:I55)</f>
        <v>65.870436708966736</v>
      </c>
    </row>
    <row r="56" spans="3:11" x14ac:dyDescent="0.2">
      <c r="D56" s="9">
        <v>2020</v>
      </c>
      <c r="F56" s="2">
        <v>49.676166446514763</v>
      </c>
      <c r="G56" s="2">
        <v>53.69513079392727</v>
      </c>
      <c r="H56" s="2">
        <v>59.222850845697863</v>
      </c>
      <c r="I56" s="2">
        <v>51.806901598613067</v>
      </c>
      <c r="J56" s="2"/>
      <c r="K56" s="8">
        <f>AVERAGE(F56:I56)</f>
        <v>53.600262421188248</v>
      </c>
    </row>
    <row r="57" spans="3:11" x14ac:dyDescent="0.2">
      <c r="D57" s="9">
        <v>2021</v>
      </c>
      <c r="F57" s="2">
        <v>59.971731376203564</v>
      </c>
      <c r="G57" s="2">
        <v>67.167971721535196</v>
      </c>
      <c r="H57" s="2">
        <v>75.492562638644415</v>
      </c>
      <c r="I57" s="2">
        <v>65.310369400363626</v>
      </c>
      <c r="J57" s="2"/>
      <c r="K57" s="8">
        <f>AVERAGE(F57:I57)</f>
        <v>66.985658784186697</v>
      </c>
    </row>
    <row r="58" spans="3:11" x14ac:dyDescent="0.2">
      <c r="D58" s="9">
        <v>2022</v>
      </c>
      <c r="F58" s="2">
        <v>66.237321634155592</v>
      </c>
      <c r="G58" s="2">
        <v>74.808160994542021</v>
      </c>
      <c r="H58" s="2">
        <v>82.894135462187364</v>
      </c>
      <c r="I58" s="2">
        <v>73.624530363938945</v>
      </c>
      <c r="J58" s="2"/>
      <c r="K58" s="8">
        <f>AVERAGE(F58:I58)</f>
        <v>74.391037113705977</v>
      </c>
    </row>
    <row r="59" spans="3:11" x14ac:dyDescent="0.2">
      <c r="D59" s="9">
        <v>2023</v>
      </c>
      <c r="F59" s="2">
        <v>67.772636768682588</v>
      </c>
      <c r="G59" s="2">
        <v>74.473987787095538</v>
      </c>
      <c r="H59" s="2">
        <v>80.418497896141147</v>
      </c>
      <c r="I59" s="2">
        <v>72.57944813627067</v>
      </c>
      <c r="J59" s="2"/>
      <c r="K59" s="8">
        <f>AVERAGE(F59:I59)</f>
        <v>73.81114264704749</v>
      </c>
    </row>
    <row r="60" spans="3:11" x14ac:dyDescent="0.2">
      <c r="D60" s="9">
        <v>2024</v>
      </c>
      <c r="F60" s="2">
        <v>62.267704940177474</v>
      </c>
      <c r="G60" s="2">
        <v>66.429119587692384</v>
      </c>
      <c r="H60" s="2">
        <v>72.828588718093073</v>
      </c>
      <c r="I60" s="2">
        <v>63.216628470725098</v>
      </c>
      <c r="J60" s="2"/>
      <c r="K60" s="8">
        <f>AVERAGE(F60:I60)</f>
        <v>66.185510429172012</v>
      </c>
    </row>
    <row r="61" spans="3:11" x14ac:dyDescent="0.2">
      <c r="D61" s="9">
        <v>2025</v>
      </c>
      <c r="F61" s="2">
        <v>60.574275933340616</v>
      </c>
      <c r="G61" s="2">
        <v>56.258053491807622</v>
      </c>
      <c r="H61" s="2">
        <v>71.962116159244545</v>
      </c>
      <c r="I61" s="2">
        <v>58.6775354983303</v>
      </c>
      <c r="J61" s="2"/>
      <c r="K61" s="8">
        <f>AVERAGE(F61:I61)</f>
        <v>61.867995270680765</v>
      </c>
    </row>
    <row r="73" spans="3:11" ht="18" x14ac:dyDescent="0.25">
      <c r="E73" s="1" t="s">
        <v>19</v>
      </c>
    </row>
    <row r="75" spans="3:11" x14ac:dyDescent="0.2">
      <c r="D75" s="5" t="s">
        <v>0</v>
      </c>
      <c r="E75" s="5"/>
      <c r="F75" s="5" t="s">
        <v>1</v>
      </c>
      <c r="G75" s="5" t="s">
        <v>2</v>
      </c>
      <c r="H75" s="5" t="s">
        <v>3</v>
      </c>
      <c r="I75" s="5" t="s">
        <v>4</v>
      </c>
      <c r="J75" s="5" t="s">
        <v>5</v>
      </c>
      <c r="K75" s="5" t="s">
        <v>17</v>
      </c>
    </row>
    <row r="76" spans="3:11" x14ac:dyDescent="0.2">
      <c r="D76" s="9">
        <v>2016</v>
      </c>
      <c r="F76" s="2">
        <v>65.805410968393147</v>
      </c>
      <c r="G76" s="2">
        <v>82.396661757486498</v>
      </c>
      <c r="H76" s="2">
        <v>92.87621463750753</v>
      </c>
      <c r="I76" s="2">
        <v>74.042288423785365</v>
      </c>
      <c r="J76" s="2">
        <v>80.386717642601468</v>
      </c>
      <c r="K76" s="8">
        <f>AVERAGE(F76:J76)</f>
        <v>79.101458685954796</v>
      </c>
    </row>
    <row r="77" spans="3:11" x14ac:dyDescent="0.2">
      <c r="D77" s="9">
        <v>2017</v>
      </c>
      <c r="F77" s="2">
        <v>66.294003722604955</v>
      </c>
      <c r="G77" s="2">
        <v>80.515849168998514</v>
      </c>
      <c r="H77" s="2">
        <v>76.285255353711591</v>
      </c>
      <c r="I77" s="2">
        <v>76.846953620657828</v>
      </c>
      <c r="J77" s="2">
        <v>83.884784333602909</v>
      </c>
      <c r="K77" s="8">
        <f>AVERAGE(F77:J77)</f>
        <v>76.765369239915159</v>
      </c>
    </row>
    <row r="78" spans="3:11" x14ac:dyDescent="0.2">
      <c r="D78" s="9">
        <v>2018</v>
      </c>
      <c r="F78" s="2">
        <v>80.873405852254095</v>
      </c>
      <c r="G78" s="2">
        <v>80.613182099120834</v>
      </c>
      <c r="H78" s="2">
        <v>79.164917445555361</v>
      </c>
      <c r="I78" s="2">
        <v>79.308157352961842</v>
      </c>
      <c r="J78" s="2">
        <v>87.776553454508857</v>
      </c>
      <c r="K78" s="8">
        <f>AVERAGE(F78:J78)</f>
        <v>81.547243240880192</v>
      </c>
    </row>
    <row r="79" spans="3:11" x14ac:dyDescent="0.2">
      <c r="C79" s="9" t="s">
        <v>16</v>
      </c>
      <c r="D79" s="9">
        <v>2019</v>
      </c>
      <c r="F79" s="2">
        <v>86.635873154473742</v>
      </c>
      <c r="G79" s="2">
        <v>77.043812077491523</v>
      </c>
      <c r="H79" s="2">
        <v>89.58386551358916</v>
      </c>
      <c r="I79" s="2">
        <v>82.792691514499523</v>
      </c>
      <c r="J79" s="2">
        <v>88.429866120002146</v>
      </c>
      <c r="K79" s="8">
        <f>AVERAGE(F79:J79)</f>
        <v>84.897221676011227</v>
      </c>
    </row>
    <row r="80" spans="3:11" x14ac:dyDescent="0.2">
      <c r="D80" s="9">
        <v>2020</v>
      </c>
      <c r="F80" s="2">
        <v>73.216415809915077</v>
      </c>
      <c r="G80" s="2">
        <v>60.337463073696583</v>
      </c>
      <c r="H80" s="2">
        <v>87.384644949938604</v>
      </c>
      <c r="I80" s="2">
        <v>58.001058861126921</v>
      </c>
      <c r="J80" s="2">
        <v>74.74661983329689</v>
      </c>
      <c r="K80" s="8">
        <f>AVERAGE(F80:J80)</f>
        <v>70.737240505594826</v>
      </c>
    </row>
    <row r="81" spans="4:11" x14ac:dyDescent="0.2">
      <c r="D81" s="9">
        <v>2021</v>
      </c>
      <c r="F81" s="2">
        <v>79.532897132591629</v>
      </c>
      <c r="G81" s="2">
        <v>69.038167549434334</v>
      </c>
      <c r="H81" s="2">
        <v>122.55312429676341</v>
      </c>
      <c r="I81" s="2">
        <v>66.938364386618659</v>
      </c>
      <c r="J81" s="2">
        <v>90.556423275609163</v>
      </c>
      <c r="K81" s="8">
        <f>AVERAGE(F81:J81)</f>
        <v>85.723795328203451</v>
      </c>
    </row>
    <row r="82" spans="4:11" x14ac:dyDescent="0.2">
      <c r="D82" s="9">
        <v>2022</v>
      </c>
      <c r="F82" s="2">
        <v>69.20902473462165</v>
      </c>
      <c r="G82" s="2">
        <v>78.885073461966044</v>
      </c>
      <c r="H82" s="2">
        <v>113.60191434597451</v>
      </c>
      <c r="I82" s="2">
        <v>70.796473017937984</v>
      </c>
      <c r="J82" s="2">
        <v>100.46531701181543</v>
      </c>
      <c r="K82" s="8">
        <f>AVERAGE(F82:J82)</f>
        <v>86.591560514463126</v>
      </c>
    </row>
    <row r="83" spans="4:11" x14ac:dyDescent="0.2">
      <c r="D83" s="9">
        <v>2023</v>
      </c>
      <c r="F83" s="2">
        <v>67.189487811490395</v>
      </c>
      <c r="G83" s="2">
        <v>74.138944368186458</v>
      </c>
      <c r="H83" s="2">
        <v>118.56540823136923</v>
      </c>
      <c r="I83" s="2">
        <v>68.821833298892571</v>
      </c>
      <c r="J83" s="2">
        <v>106.62472634813113</v>
      </c>
      <c r="K83" s="8">
        <f>AVERAGE(F83:J83)</f>
        <v>87.068080011613958</v>
      </c>
    </row>
    <row r="84" spans="4:11" x14ac:dyDescent="0.2">
      <c r="D84" s="9">
        <v>2024</v>
      </c>
      <c r="F84" s="2">
        <v>71.172639053153219</v>
      </c>
      <c r="G84" s="2">
        <v>69.699137470853728</v>
      </c>
      <c r="H84" s="2">
        <v>106.02180445020856</v>
      </c>
      <c r="I84" s="2">
        <v>60.84602786251444</v>
      </c>
      <c r="J84" s="2">
        <v>88.177805887029052</v>
      </c>
      <c r="K84" s="8">
        <f>AVERAGE(F84:J84)</f>
        <v>79.183482944751816</v>
      </c>
    </row>
    <row r="85" spans="4:11" x14ac:dyDescent="0.2">
      <c r="D85" s="9">
        <v>2025</v>
      </c>
      <c r="F85" s="2">
        <v>60.719148804493742</v>
      </c>
      <c r="G85" s="2">
        <v>56.627656721558829</v>
      </c>
      <c r="H85" s="2">
        <v>125.92340571984622</v>
      </c>
      <c r="I85" s="2">
        <v>52.343806613746068</v>
      </c>
      <c r="J85" s="2">
        <v>59.178739870795347</v>
      </c>
      <c r="K85" s="8">
        <f>AVERAGE(F85:J85)</f>
        <v>70.958551546088046</v>
      </c>
    </row>
    <row r="93" spans="4:11" ht="18" x14ac:dyDescent="0.25">
      <c r="E93" s="1" t="s">
        <v>21</v>
      </c>
    </row>
    <row r="95" spans="4:11" x14ac:dyDescent="0.2">
      <c r="D95" s="5" t="s">
        <v>0</v>
      </c>
      <c r="E95" s="5"/>
      <c r="F95" s="5" t="s">
        <v>1</v>
      </c>
      <c r="G95" s="5" t="s">
        <v>2</v>
      </c>
      <c r="H95" s="5" t="s">
        <v>3</v>
      </c>
      <c r="I95" s="5" t="s">
        <v>4</v>
      </c>
      <c r="J95" s="5" t="s">
        <v>5</v>
      </c>
      <c r="K95" s="5" t="s">
        <v>17</v>
      </c>
    </row>
    <row r="96" spans="4:11" x14ac:dyDescent="0.2">
      <c r="D96" s="9">
        <v>2016</v>
      </c>
      <c r="F96" s="2">
        <v>37.312345055550452</v>
      </c>
      <c r="G96" s="2">
        <v>42.879448931624452</v>
      </c>
      <c r="I96" s="2">
        <v>41.866394086336491</v>
      </c>
      <c r="J96" s="2">
        <v>42.794910282798689</v>
      </c>
      <c r="K96" s="8">
        <f>AVERAGE(F96,G96,I96,J96)</f>
        <v>41.213274589077521</v>
      </c>
    </row>
    <row r="97" spans="3:11" x14ac:dyDescent="0.2">
      <c r="D97" s="9">
        <v>2017</v>
      </c>
      <c r="F97" s="2">
        <v>33.672682191995165</v>
      </c>
      <c r="G97" s="2">
        <v>42.003179901762259</v>
      </c>
      <c r="I97" s="2">
        <v>43.075559500198416</v>
      </c>
      <c r="J97" s="2">
        <v>44.700902810471852</v>
      </c>
      <c r="K97" s="8">
        <f>AVERAGE(F97,G97,I97,J97)</f>
        <v>40.863081101106921</v>
      </c>
    </row>
    <row r="98" spans="3:11" x14ac:dyDescent="0.2">
      <c r="D98" s="9">
        <v>2018</v>
      </c>
      <c r="F98" s="2">
        <v>36.524181890773782</v>
      </c>
      <c r="G98" s="2">
        <v>47.396124151500111</v>
      </c>
      <c r="I98" s="2">
        <v>44.715095103407052</v>
      </c>
      <c r="J98" s="2">
        <v>48.91519772125428</v>
      </c>
      <c r="K98" s="8">
        <f>AVERAGE(F98,G98,I98,J98)</f>
        <v>44.387649716733804</v>
      </c>
    </row>
    <row r="99" spans="3:11" x14ac:dyDescent="0.2">
      <c r="C99" s="9" t="s">
        <v>16</v>
      </c>
      <c r="D99" s="9">
        <v>2019</v>
      </c>
      <c r="F99" s="2">
        <v>40.95336631356242</v>
      </c>
      <c r="G99" s="2">
        <v>50.723431614051051</v>
      </c>
      <c r="H99" s="2" t="s">
        <v>20</v>
      </c>
      <c r="I99" s="2">
        <v>46.867905579015193</v>
      </c>
      <c r="J99" s="2">
        <v>49.385038512599188</v>
      </c>
      <c r="K99" s="8">
        <f>AVERAGE(F99,G99,I99,J99)</f>
        <v>46.982435504806965</v>
      </c>
    </row>
    <row r="100" spans="3:11" x14ac:dyDescent="0.2">
      <c r="D100" s="9">
        <v>2020</v>
      </c>
      <c r="F100" s="2">
        <v>49.410523866683391</v>
      </c>
      <c r="G100" s="2">
        <v>47.01935920656296</v>
      </c>
      <c r="I100" s="2">
        <v>45.021160838089202</v>
      </c>
      <c r="J100" s="2">
        <v>37.54335756486509</v>
      </c>
      <c r="K100" s="8">
        <f>AVERAGE(F100,G100,I100,J100)</f>
        <v>44.748600369050159</v>
      </c>
    </row>
    <row r="101" spans="3:11" x14ac:dyDescent="0.2">
      <c r="D101" s="9">
        <v>2021</v>
      </c>
      <c r="F101" s="2">
        <v>41.713190014950747</v>
      </c>
      <c r="G101" s="2">
        <v>49.25179405381455</v>
      </c>
      <c r="I101" s="2">
        <v>49.152842093699867</v>
      </c>
      <c r="J101" s="2">
        <v>48.926132380449076</v>
      </c>
      <c r="K101" s="8">
        <f>AVERAGE(F101,G101,I101,J101)</f>
        <v>47.260989635728556</v>
      </c>
    </row>
    <row r="102" spans="3:11" x14ac:dyDescent="0.2">
      <c r="D102" s="9">
        <v>2022</v>
      </c>
      <c r="F102" s="2">
        <v>42.157077942215928</v>
      </c>
      <c r="G102" s="2">
        <v>45.399849356896901</v>
      </c>
      <c r="I102" s="2">
        <v>46.505242339064424</v>
      </c>
      <c r="J102" s="2">
        <v>42.943158867618578</v>
      </c>
      <c r="K102" s="8">
        <f>AVERAGE(F102,G102,I102,J102)</f>
        <v>44.251332126448958</v>
      </c>
    </row>
    <row r="103" spans="3:11" x14ac:dyDescent="0.2">
      <c r="D103" s="9">
        <v>2023</v>
      </c>
      <c r="F103" s="2">
        <v>38.333584828131492</v>
      </c>
      <c r="G103" s="2">
        <v>40.141058750651524</v>
      </c>
      <c r="I103" s="2">
        <v>50.160247894917795</v>
      </c>
      <c r="J103" s="2">
        <v>43.062976406498777</v>
      </c>
      <c r="K103" s="8">
        <f>AVERAGE(F103,G103,I103,J103)</f>
        <v>42.924466970049892</v>
      </c>
    </row>
    <row r="104" spans="3:11" x14ac:dyDescent="0.2">
      <c r="D104" s="9">
        <v>2024</v>
      </c>
      <c r="F104" s="2">
        <v>42.075325878219822</v>
      </c>
      <c r="G104" s="2">
        <v>36.525937239960754</v>
      </c>
      <c r="I104" s="2">
        <v>50.726024111294024</v>
      </c>
      <c r="J104" s="2">
        <v>49.528842861788831</v>
      </c>
      <c r="K104" s="8">
        <f>AVERAGE(F104,G104,I104,J104)</f>
        <v>44.714032522815863</v>
      </c>
    </row>
    <row r="105" spans="3:11" x14ac:dyDescent="0.2">
      <c r="D105" s="9">
        <v>2025</v>
      </c>
      <c r="F105" s="2">
        <v>43.028178149423212</v>
      </c>
      <c r="G105" s="2">
        <v>38.084121239390413</v>
      </c>
      <c r="I105" s="2">
        <v>50.233549651917166</v>
      </c>
      <c r="J105" s="2">
        <v>45.57109456430922</v>
      </c>
      <c r="K105" s="8">
        <f>AVERAGE(F105,G105,I105,J105)</f>
        <v>44.229235901260004</v>
      </c>
    </row>
    <row r="111" spans="3:11" ht="18" x14ac:dyDescent="0.25">
      <c r="E111" s="1" t="s">
        <v>22</v>
      </c>
    </row>
    <row r="113" spans="3:11" x14ac:dyDescent="0.2">
      <c r="D113" s="5" t="s">
        <v>0</v>
      </c>
      <c r="E113" s="5"/>
      <c r="F113" s="5" t="s">
        <v>1</v>
      </c>
      <c r="G113" s="5" t="s">
        <v>2</v>
      </c>
      <c r="H113" s="5" t="s">
        <v>3</v>
      </c>
      <c r="I113" s="5" t="s">
        <v>4</v>
      </c>
      <c r="J113" s="5" t="s">
        <v>5</v>
      </c>
      <c r="K113" s="5" t="s">
        <v>17</v>
      </c>
    </row>
    <row r="114" spans="3:11" x14ac:dyDescent="0.2">
      <c r="D114" s="9">
        <v>2016</v>
      </c>
      <c r="F114" s="2">
        <v>57.124127812890713</v>
      </c>
      <c r="G114" s="2">
        <v>54.1530979912501</v>
      </c>
      <c r="H114" s="2">
        <v>56.305832814908563</v>
      </c>
      <c r="I114" s="2">
        <v>49.016728239910265</v>
      </c>
      <c r="J114" s="2">
        <v>84.191887955629156</v>
      </c>
      <c r="K114" s="8">
        <f>AVERAGE(F114:J114)</f>
        <v>60.158334962917763</v>
      </c>
    </row>
    <row r="115" spans="3:11" x14ac:dyDescent="0.2">
      <c r="D115" s="9">
        <v>2017</v>
      </c>
      <c r="F115" s="2">
        <v>62.027136152088204</v>
      </c>
      <c r="G115" s="2">
        <v>78.262864066203591</v>
      </c>
      <c r="H115" s="2">
        <v>53.631456148769111</v>
      </c>
      <c r="I115" s="2">
        <v>57.361063898620301</v>
      </c>
      <c r="J115" s="2">
        <v>100.84641991887831</v>
      </c>
      <c r="K115" s="8">
        <f>AVERAGE(F115:J115)</f>
        <v>70.425788036911896</v>
      </c>
    </row>
    <row r="116" spans="3:11" x14ac:dyDescent="0.2">
      <c r="D116" s="9">
        <v>2018</v>
      </c>
      <c r="F116" s="2">
        <v>65.948273248351157</v>
      </c>
      <c r="G116" s="2">
        <v>71.196375216586887</v>
      </c>
      <c r="H116" s="2">
        <v>57.265995542761786</v>
      </c>
      <c r="I116" s="2">
        <v>61.88017966064038</v>
      </c>
      <c r="J116" s="2">
        <v>89.271047644301404</v>
      </c>
      <c r="K116" s="8">
        <f>AVERAGE(F116:J116)</f>
        <v>69.11237426252832</v>
      </c>
    </row>
    <row r="117" spans="3:11" x14ac:dyDescent="0.2">
      <c r="C117" s="9" t="s">
        <v>16</v>
      </c>
      <c r="D117" s="9">
        <v>2019</v>
      </c>
      <c r="F117" s="2">
        <v>64.497631514897648</v>
      </c>
      <c r="G117" s="2">
        <v>63.099366778131383</v>
      </c>
      <c r="H117" s="2">
        <v>54.114559249177262</v>
      </c>
      <c r="I117" s="2">
        <v>59.006900572012469</v>
      </c>
      <c r="J117" s="2">
        <v>88.131379917237965</v>
      </c>
      <c r="K117" s="8">
        <f>AVERAGE(F117:J117)</f>
        <v>65.769967606291345</v>
      </c>
    </row>
    <row r="118" spans="3:11" x14ac:dyDescent="0.2">
      <c r="D118" s="9">
        <v>2020</v>
      </c>
      <c r="F118" s="2">
        <v>62.31679592234709</v>
      </c>
      <c r="G118" s="2">
        <v>58.239478068302716</v>
      </c>
      <c r="H118" s="2">
        <v>56.978319141425857</v>
      </c>
      <c r="I118" s="2">
        <v>53.367121133025265</v>
      </c>
      <c r="J118" s="2">
        <v>71.414593933915981</v>
      </c>
      <c r="K118" s="8">
        <f>AVERAGE(F118:J118)</f>
        <v>60.463261639803378</v>
      </c>
    </row>
    <row r="119" spans="3:11" x14ac:dyDescent="0.2">
      <c r="D119" s="9">
        <v>2021</v>
      </c>
      <c r="F119" s="2">
        <v>67.155900264471839</v>
      </c>
      <c r="G119" s="2">
        <v>58.128446669085797</v>
      </c>
      <c r="H119" s="2">
        <v>55.455076717271247</v>
      </c>
      <c r="I119" s="2">
        <v>55.074831992774932</v>
      </c>
      <c r="J119" s="2">
        <v>78.951423113014556</v>
      </c>
      <c r="K119" s="8">
        <f>AVERAGE(F119:J119)</f>
        <v>62.953135751323678</v>
      </c>
    </row>
    <row r="120" spans="3:11" x14ac:dyDescent="0.2">
      <c r="D120" s="9">
        <v>2022</v>
      </c>
      <c r="F120" s="2">
        <v>65.079070264454216</v>
      </c>
      <c r="G120" s="2">
        <v>62.613158671295501</v>
      </c>
      <c r="H120" s="2">
        <v>52.77318948443218</v>
      </c>
      <c r="I120" s="2">
        <v>59.79696286262373</v>
      </c>
      <c r="J120" s="2">
        <v>70.578049282801999</v>
      </c>
      <c r="K120" s="8">
        <f>AVERAGE(F120:J120)</f>
        <v>62.168086113121525</v>
      </c>
    </row>
    <row r="121" spans="3:11" x14ac:dyDescent="0.2">
      <c r="D121" s="9">
        <v>2023</v>
      </c>
      <c r="F121" s="2">
        <v>65.422083658740988</v>
      </c>
      <c r="G121" s="2">
        <v>50.513389767157044</v>
      </c>
      <c r="H121" s="2">
        <v>58.321765102768261</v>
      </c>
      <c r="I121" s="2">
        <v>56.76580953328709</v>
      </c>
      <c r="J121" s="2">
        <v>50.986020437293092</v>
      </c>
      <c r="K121" s="8">
        <f>AVERAGE(F121:J121)</f>
        <v>56.401813699849299</v>
      </c>
    </row>
    <row r="122" spans="3:11" x14ac:dyDescent="0.2">
      <c r="D122" s="9">
        <v>2024</v>
      </c>
      <c r="F122" s="2">
        <v>50.895554542555224</v>
      </c>
      <c r="G122" s="2">
        <v>45.280751332685917</v>
      </c>
      <c r="H122" s="2">
        <v>53.044031415301887</v>
      </c>
      <c r="I122" s="2">
        <v>48.182620761990457</v>
      </c>
      <c r="J122" s="2">
        <v>54.168808170535733</v>
      </c>
      <c r="K122" s="8">
        <f>AVERAGE(F122:J122)</f>
        <v>50.314353244613841</v>
      </c>
    </row>
    <row r="123" spans="3:11" x14ac:dyDescent="0.2">
      <c r="D123" s="9">
        <v>2025</v>
      </c>
      <c r="F123" s="2">
        <v>40.920685068744852</v>
      </c>
      <c r="G123" s="2">
        <v>34.802358875321374</v>
      </c>
      <c r="H123" s="2">
        <v>44.530644820666723</v>
      </c>
      <c r="I123" s="2">
        <v>43.2080256560591</v>
      </c>
      <c r="J123" s="2">
        <v>52.743734231428327</v>
      </c>
      <c r="K123" s="8">
        <f>AVERAGE(F123:J123)</f>
        <v>43.241089730444074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53BC8-EBF8-9946-A59A-84599AD321FC}">
  <dimension ref="B4:J88"/>
  <sheetViews>
    <sheetView topLeftCell="A50" workbookViewId="0">
      <selection activeCell="J79" sqref="J79:J88"/>
    </sheetView>
  </sheetViews>
  <sheetFormatPr baseColWidth="10" defaultRowHeight="16" x14ac:dyDescent="0.2"/>
  <cols>
    <col min="3" max="3" width="18.83203125" bestFit="1" customWidth="1"/>
    <col min="5" max="5" width="16.33203125" bestFit="1" customWidth="1"/>
    <col min="6" max="6" width="12.6640625" bestFit="1" customWidth="1"/>
    <col min="7" max="9" width="12.1640625" bestFit="1" customWidth="1"/>
  </cols>
  <sheetData>
    <row r="4" spans="2:10" ht="18" x14ac:dyDescent="0.25">
      <c r="B4" s="1" t="s">
        <v>23</v>
      </c>
    </row>
    <row r="6" spans="2:10" x14ac:dyDescent="0.2">
      <c r="C6" s="5" t="s">
        <v>0</v>
      </c>
      <c r="D6" s="5"/>
      <c r="E6" s="5" t="s">
        <v>1</v>
      </c>
      <c r="F6" s="5" t="s">
        <v>2</v>
      </c>
      <c r="G6" s="5" t="s">
        <v>3</v>
      </c>
      <c r="H6" s="5" t="s">
        <v>4</v>
      </c>
      <c r="I6" s="5" t="s">
        <v>5</v>
      </c>
      <c r="J6" s="5" t="s">
        <v>17</v>
      </c>
    </row>
    <row r="7" spans="2:10" x14ac:dyDescent="0.2">
      <c r="C7" s="10" t="s">
        <v>28</v>
      </c>
      <c r="E7">
        <v>1.4124568693549366</v>
      </c>
      <c r="F7">
        <v>1.4567930297734775</v>
      </c>
      <c r="G7">
        <v>1.4291578279504527</v>
      </c>
      <c r="H7">
        <v>1.4524453975318192</v>
      </c>
      <c r="I7">
        <v>1.7991901588201302</v>
      </c>
      <c r="J7" s="7">
        <f>AVERAGE(E7:I7)</f>
        <v>1.5100086566861635</v>
      </c>
    </row>
    <row r="8" spans="2:10" x14ac:dyDescent="0.2">
      <c r="C8" s="9" t="s">
        <v>29</v>
      </c>
      <c r="E8">
        <v>1.0658799057823944</v>
      </c>
      <c r="F8">
        <v>1.0769077044460864</v>
      </c>
      <c r="G8">
        <v>1.063931596325173</v>
      </c>
      <c r="H8">
        <v>1.0585203417801323</v>
      </c>
      <c r="I8">
        <v>1.0927673146034445</v>
      </c>
      <c r="J8" s="7">
        <f>AVERAGE(E8:I8)</f>
        <v>1.071601372587446</v>
      </c>
    </row>
    <row r="9" spans="2:10" x14ac:dyDescent="0.2">
      <c r="C9" s="9" t="s">
        <v>30</v>
      </c>
      <c r="E9">
        <v>1.0344881576962166</v>
      </c>
      <c r="F9">
        <v>1.0311474429474916</v>
      </c>
      <c r="G9">
        <v>1.028831211908084</v>
      </c>
      <c r="H9">
        <v>1.0189058936843682</v>
      </c>
      <c r="I9">
        <v>1.0338779770019906</v>
      </c>
      <c r="J9" s="7">
        <f>AVERAGE(E9:I9)</f>
        <v>1.0294501366476303</v>
      </c>
    </row>
    <row r="10" spans="2:10" x14ac:dyDescent="0.2">
      <c r="C10" s="9" t="s">
        <v>31</v>
      </c>
      <c r="E10">
        <v>1.0230222458204716</v>
      </c>
      <c r="F10">
        <v>1.0197781624372646</v>
      </c>
      <c r="G10">
        <v>1.0191528853960217</v>
      </c>
      <c r="H10">
        <v>1.0145178784118374</v>
      </c>
      <c r="I10">
        <v>1.0206959533854345</v>
      </c>
      <c r="J10" s="7">
        <f>AVERAGE(E10:I10)</f>
        <v>1.019433425090206</v>
      </c>
    </row>
    <row r="11" spans="2:10" x14ac:dyDescent="0.2">
      <c r="C11" s="9" t="s">
        <v>32</v>
      </c>
      <c r="E11">
        <v>1.0157372904185173</v>
      </c>
      <c r="F11">
        <v>1.0107987980283939</v>
      </c>
      <c r="G11">
        <v>1.0098249954416985</v>
      </c>
      <c r="H11">
        <v>1.0077112610349144</v>
      </c>
      <c r="I11">
        <v>1.0114308308178925</v>
      </c>
      <c r="J11" s="7">
        <f>AVERAGE(E11:I11)</f>
        <v>1.0111006351482834</v>
      </c>
    </row>
    <row r="12" spans="2:10" x14ac:dyDescent="0.2">
      <c r="C12" s="9" t="s">
        <v>33</v>
      </c>
      <c r="E12">
        <v>1.0102763882609422</v>
      </c>
      <c r="F12">
        <v>1.0063322636649281</v>
      </c>
      <c r="G12">
        <v>1.0064809114039137</v>
      </c>
      <c r="H12">
        <v>1.0044760732684708</v>
      </c>
      <c r="I12">
        <v>1.0035584672005484</v>
      </c>
      <c r="J12" s="7">
        <f>AVERAGE(E12:I12)</f>
        <v>1.0062248207597606</v>
      </c>
    </row>
    <row r="13" spans="2:10" x14ac:dyDescent="0.2">
      <c r="C13" s="9" t="s">
        <v>34</v>
      </c>
      <c r="E13">
        <v>1.0047565643177307</v>
      </c>
      <c r="F13">
        <v>1.0040690607309068</v>
      </c>
      <c r="G13">
        <v>1.0039983172712774</v>
      </c>
      <c r="H13">
        <v>1.003134341411547</v>
      </c>
      <c r="I13">
        <v>1.0010661068846429</v>
      </c>
      <c r="J13" s="7">
        <f>AVERAGE(E13:I13)</f>
        <v>1.003404878123221</v>
      </c>
    </row>
    <row r="14" spans="2:10" x14ac:dyDescent="0.2">
      <c r="C14" s="9" t="s">
        <v>35</v>
      </c>
      <c r="E14">
        <v>1.0026323861597</v>
      </c>
      <c r="F14">
        <v>1.002316900188096</v>
      </c>
      <c r="G14">
        <v>1.0022865350582379</v>
      </c>
      <c r="H14">
        <v>1.0013748477319628</v>
      </c>
      <c r="I14">
        <v>1.000363768643143</v>
      </c>
      <c r="J14" s="7">
        <f>AVERAGE(E14:I14)</f>
        <v>1.0017948875562279</v>
      </c>
    </row>
    <row r="15" spans="2:10" x14ac:dyDescent="0.2">
      <c r="C15" s="9" t="s">
        <v>36</v>
      </c>
      <c r="E15">
        <v>1.0001327021516588</v>
      </c>
      <c r="F15">
        <v>1.0007668413578485</v>
      </c>
      <c r="G15">
        <v>1.0012150131611532</v>
      </c>
      <c r="H15">
        <v>1.0004517953832552</v>
      </c>
      <c r="I15">
        <v>1</v>
      </c>
      <c r="J15" s="7">
        <f>AVERAGE(E15:I15)</f>
        <v>1.0005132704107831</v>
      </c>
    </row>
    <row r="16" spans="2:10" x14ac:dyDescent="0.2">
      <c r="C16" s="9" t="s">
        <v>37</v>
      </c>
      <c r="E16">
        <v>1</v>
      </c>
      <c r="F16">
        <v>1</v>
      </c>
      <c r="G16">
        <v>1</v>
      </c>
      <c r="H16">
        <v>1</v>
      </c>
      <c r="I16">
        <v>1</v>
      </c>
      <c r="J16" s="7">
        <f>AVERAGE(E16:I16)</f>
        <v>1</v>
      </c>
    </row>
    <row r="22" spans="2:10" ht="18" x14ac:dyDescent="0.25">
      <c r="B22" s="1" t="s">
        <v>24</v>
      </c>
    </row>
    <row r="24" spans="2:10" x14ac:dyDescent="0.2">
      <c r="C24" s="5" t="s">
        <v>0</v>
      </c>
      <c r="D24" s="5"/>
      <c r="E24" s="5" t="s">
        <v>1</v>
      </c>
      <c r="F24" s="5" t="s">
        <v>2</v>
      </c>
      <c r="G24" s="5" t="s">
        <v>3</v>
      </c>
      <c r="H24" s="5" t="s">
        <v>4</v>
      </c>
      <c r="I24" s="5" t="s">
        <v>5</v>
      </c>
      <c r="J24" s="5" t="s">
        <v>17</v>
      </c>
    </row>
    <row r="25" spans="2:10" x14ac:dyDescent="0.2">
      <c r="C25" s="10" t="s">
        <v>28</v>
      </c>
      <c r="E25">
        <v>2.8458526480806312</v>
      </c>
      <c r="F25">
        <v>2.9479235278439506</v>
      </c>
      <c r="G25">
        <v>2.8897685821909334</v>
      </c>
      <c r="H25">
        <v>2.9511515950193643</v>
      </c>
      <c r="J25" s="7">
        <f>AVERAGE(E25,F25,G25,H25)</f>
        <v>2.9086740882837199</v>
      </c>
    </row>
    <row r="26" spans="2:10" x14ac:dyDescent="0.2">
      <c r="C26" s="9" t="s">
        <v>29</v>
      </c>
      <c r="E26">
        <v>1.4483903281932633</v>
      </c>
      <c r="F26">
        <v>1.5733075958788354</v>
      </c>
      <c r="G26">
        <v>1.5315795027405696</v>
      </c>
      <c r="H26">
        <v>1.4792045384311596</v>
      </c>
      <c r="J26" s="7">
        <f>AVERAGE(E26:H26)</f>
        <v>1.5081204913109569</v>
      </c>
    </row>
    <row r="27" spans="2:10" x14ac:dyDescent="0.2">
      <c r="C27" s="9" t="s">
        <v>30</v>
      </c>
      <c r="E27">
        <v>1.1724068446675344</v>
      </c>
      <c r="F27">
        <v>1.2621322040503486</v>
      </c>
      <c r="G27">
        <v>1.2521923441882363</v>
      </c>
      <c r="H27">
        <v>1.1964184416317107</v>
      </c>
      <c r="J27" s="7">
        <f>AVERAGE(E27,F27,G27,H27)</f>
        <v>1.2207874586344576</v>
      </c>
    </row>
    <row r="28" spans="2:10" x14ac:dyDescent="0.2">
      <c r="C28" s="9" t="s">
        <v>31</v>
      </c>
      <c r="E28">
        <v>1.0754903559821849</v>
      </c>
      <c r="F28">
        <v>1.1246368331682695</v>
      </c>
      <c r="G28">
        <v>1.1283404529485537</v>
      </c>
      <c r="H28">
        <v>1.0860557354759051</v>
      </c>
      <c r="I28" t="s">
        <v>38</v>
      </c>
      <c r="J28" s="7">
        <f>AVERAGE(E28:H28)</f>
        <v>1.1036308443937284</v>
      </c>
    </row>
    <row r="29" spans="2:10" x14ac:dyDescent="0.2">
      <c r="C29" s="9" t="s">
        <v>32</v>
      </c>
      <c r="E29">
        <v>1.0344489423590424</v>
      </c>
      <c r="F29">
        <v>1.0588169690598699</v>
      </c>
      <c r="G29">
        <v>1.0663787119739876</v>
      </c>
      <c r="H29">
        <v>1.0373225747140089</v>
      </c>
      <c r="J29" s="7">
        <f>AVERAGE(E29,F29,G29,H29)</f>
        <v>1.0492417995267274</v>
      </c>
    </row>
    <row r="30" spans="2:10" x14ac:dyDescent="0.2">
      <c r="C30" s="9" t="s">
        <v>33</v>
      </c>
      <c r="E30">
        <v>1.0171640335949712</v>
      </c>
      <c r="F30">
        <v>1.0268608778647812</v>
      </c>
      <c r="G30">
        <v>1.035396080091652</v>
      </c>
      <c r="H30">
        <v>1.0151986986182227</v>
      </c>
      <c r="J30" s="7">
        <f>AVERAGE(E30:H30)</f>
        <v>1.0236549225424068</v>
      </c>
    </row>
    <row r="31" spans="2:10" x14ac:dyDescent="0.2">
      <c r="C31" s="9" t="s">
        <v>34</v>
      </c>
      <c r="E31">
        <v>1.0085212730543083</v>
      </c>
      <c r="F31">
        <v>1.0107099117156457</v>
      </c>
      <c r="G31">
        <v>1.0160277950484757</v>
      </c>
      <c r="H31">
        <v>1.0055733542670307</v>
      </c>
      <c r="J31" s="7">
        <f>AVERAGE(E31,F31,G31,H31)</f>
        <v>1.0102080835213652</v>
      </c>
    </row>
    <row r="32" spans="2:10" x14ac:dyDescent="0.2">
      <c r="C32" s="9" t="s">
        <v>35</v>
      </c>
      <c r="E32">
        <v>1.0024387029303981</v>
      </c>
      <c r="F32">
        <v>1.0046171282262912</v>
      </c>
      <c r="G32">
        <v>1.006669006746961</v>
      </c>
      <c r="H32">
        <v>1.0022920732879965</v>
      </c>
      <c r="J32" s="7">
        <f>AVERAGE(E32:H32)</f>
        <v>1.0040042277979118</v>
      </c>
    </row>
    <row r="33" spans="2:10" x14ac:dyDescent="0.2">
      <c r="C33" s="9" t="s">
        <v>36</v>
      </c>
      <c r="E33">
        <v>1.0005589500753906</v>
      </c>
      <c r="F33">
        <v>1.0012696374251999</v>
      </c>
      <c r="G33">
        <v>1.002042277366733</v>
      </c>
      <c r="H33">
        <v>1.0007038872128304</v>
      </c>
      <c r="J33" s="7">
        <f>AVERAGE(E33,F33,G33,H33)</f>
        <v>1.0011436880200386</v>
      </c>
    </row>
    <row r="34" spans="2:10" x14ac:dyDescent="0.2">
      <c r="C34" s="9" t="s">
        <v>37</v>
      </c>
      <c r="E34">
        <v>1</v>
      </c>
      <c r="F34">
        <v>1</v>
      </c>
      <c r="G34">
        <v>1</v>
      </c>
      <c r="H34">
        <v>1</v>
      </c>
      <c r="J34" s="7">
        <f>AVERAGE(E34:H34)</f>
        <v>1</v>
      </c>
    </row>
    <row r="42" spans="2:10" ht="18" x14ac:dyDescent="0.25">
      <c r="B42" s="1" t="s">
        <v>27</v>
      </c>
    </row>
    <row r="44" spans="2:10" x14ac:dyDescent="0.2">
      <c r="C44" s="5" t="s">
        <v>0</v>
      </c>
      <c r="D44" s="5"/>
      <c r="E44" s="5" t="s">
        <v>1</v>
      </c>
      <c r="F44" s="5" t="s">
        <v>2</v>
      </c>
      <c r="G44" s="5" t="s">
        <v>3</v>
      </c>
      <c r="H44" s="5" t="s">
        <v>4</v>
      </c>
      <c r="I44" s="5" t="s">
        <v>5</v>
      </c>
      <c r="J44" s="5" t="s">
        <v>17</v>
      </c>
    </row>
    <row r="45" spans="2:10" x14ac:dyDescent="0.2">
      <c r="C45" s="10" t="s">
        <v>28</v>
      </c>
      <c r="E45">
        <v>5.9479382227271111</v>
      </c>
      <c r="F45">
        <v>7.0887803873929078</v>
      </c>
      <c r="G45">
        <v>8.3999763429922751</v>
      </c>
      <c r="H45">
        <v>7.4946462213755742</v>
      </c>
      <c r="I45">
        <v>12.533636773668169</v>
      </c>
      <c r="J45" s="7">
        <f>AVERAGE(E45:I45)</f>
        <v>8.2929955896312073</v>
      </c>
    </row>
    <row r="46" spans="2:10" x14ac:dyDescent="0.2">
      <c r="C46" s="9" t="s">
        <v>29</v>
      </c>
      <c r="E46">
        <v>2.2180131314174942</v>
      </c>
      <c r="F46">
        <v>2.8629674049042082</v>
      </c>
      <c r="G46">
        <v>3.4273000550016532</v>
      </c>
      <c r="H46">
        <v>2.8947478765954671</v>
      </c>
      <c r="I46">
        <v>3.8533619967974264</v>
      </c>
      <c r="J46" s="7">
        <f>AVERAGE(E46:I46)</f>
        <v>3.0512780929432499</v>
      </c>
    </row>
    <row r="47" spans="2:10" x14ac:dyDescent="0.2">
      <c r="C47" s="9" t="s">
        <v>30</v>
      </c>
      <c r="E47">
        <v>1.4203439202366173</v>
      </c>
      <c r="F47">
        <v>1.7856998446472439</v>
      </c>
      <c r="G47">
        <v>2.0887687596221589</v>
      </c>
      <c r="H47">
        <v>1.7728887932160471</v>
      </c>
      <c r="I47">
        <v>2.1172309862458962</v>
      </c>
      <c r="J47" s="7">
        <f>AVERAGE(E47:I47)</f>
        <v>1.8369864607935926</v>
      </c>
    </row>
    <row r="48" spans="2:10" x14ac:dyDescent="0.2">
      <c r="C48" s="9" t="s">
        <v>31</v>
      </c>
      <c r="E48">
        <v>1.1851685676715726</v>
      </c>
      <c r="F48">
        <v>1.3542296371164364</v>
      </c>
      <c r="G48">
        <v>1.5241428163102582</v>
      </c>
      <c r="H48">
        <v>1.3437068593906849</v>
      </c>
      <c r="I48">
        <v>1.4845784302303859</v>
      </c>
      <c r="J48" s="7">
        <f>AVERAGE(E48:I48)</f>
        <v>1.3783652621438676</v>
      </c>
    </row>
    <row r="49" spans="2:10" x14ac:dyDescent="0.2">
      <c r="C49" s="9" t="s">
        <v>32</v>
      </c>
      <c r="E49">
        <v>1.0747215004089983</v>
      </c>
      <c r="F49">
        <v>1.1500761088929363</v>
      </c>
      <c r="G49">
        <v>1.2725429630068288</v>
      </c>
      <c r="H49">
        <v>1.1570995792542333</v>
      </c>
      <c r="I49">
        <v>1.2202623692548622</v>
      </c>
      <c r="J49" s="7">
        <f>AVERAGE(E49:I49)</f>
        <v>1.1749405041635719</v>
      </c>
    </row>
    <row r="50" spans="2:10" x14ac:dyDescent="0.2">
      <c r="C50" s="9" t="s">
        <v>33</v>
      </c>
      <c r="E50">
        <v>1.036257101732071</v>
      </c>
      <c r="F50">
        <v>1.0654831051766975</v>
      </c>
      <c r="G50">
        <v>1.1406703180638551</v>
      </c>
      <c r="H50">
        <v>1.0781491102702887</v>
      </c>
      <c r="I50">
        <v>1.115915794096993</v>
      </c>
      <c r="J50" s="7">
        <f>AVERAGE(E50:I50)</f>
        <v>1.0872950858679811</v>
      </c>
    </row>
    <row r="51" spans="2:10" x14ac:dyDescent="0.2">
      <c r="C51" s="9" t="s">
        <v>34</v>
      </c>
      <c r="E51">
        <v>1.0126130953951078</v>
      </c>
      <c r="F51">
        <v>1.0256251751687435</v>
      </c>
      <c r="G51">
        <v>1.0731397454181604</v>
      </c>
      <c r="H51">
        <v>1.035680341909093</v>
      </c>
      <c r="I51">
        <v>1.0558969180600839</v>
      </c>
      <c r="J51" s="7">
        <f>AVERAGE(E51:I51)</f>
        <v>1.0405910551902378</v>
      </c>
    </row>
    <row r="52" spans="2:10" x14ac:dyDescent="0.2">
      <c r="C52" s="9" t="s">
        <v>35</v>
      </c>
      <c r="E52">
        <v>1.003902132417464</v>
      </c>
      <c r="F52">
        <v>1.0084565664512708</v>
      </c>
      <c r="G52">
        <v>1.0384377313096311</v>
      </c>
      <c r="H52">
        <v>1.0173035523846996</v>
      </c>
      <c r="I52">
        <v>1.0318249971056721</v>
      </c>
      <c r="J52" s="7">
        <f>AVERAGE(E52:I52)</f>
        <v>1.0199849959337475</v>
      </c>
    </row>
    <row r="53" spans="2:10" x14ac:dyDescent="0.2">
      <c r="C53" s="9" t="s">
        <v>36</v>
      </c>
      <c r="E53">
        <v>1.0002406630266385</v>
      </c>
      <c r="F53">
        <v>1.0019888074148744</v>
      </c>
      <c r="G53">
        <v>1.0187928916832005</v>
      </c>
      <c r="H53">
        <v>1.0080708211549334</v>
      </c>
      <c r="I53">
        <v>1.0199515246864401</v>
      </c>
      <c r="J53" s="7">
        <f>AVERAGE(E53:I53)</f>
        <v>1.0098089415932174</v>
      </c>
    </row>
    <row r="54" spans="2:10" x14ac:dyDescent="0.2">
      <c r="C54" s="9" t="s">
        <v>37</v>
      </c>
      <c r="E54">
        <v>1</v>
      </c>
      <c r="F54">
        <v>1</v>
      </c>
      <c r="G54">
        <v>1</v>
      </c>
      <c r="H54">
        <v>1</v>
      </c>
      <c r="I54">
        <v>1</v>
      </c>
      <c r="J54" s="7">
        <f>AVERAGE(E54:I54)</f>
        <v>1</v>
      </c>
    </row>
    <row r="60" spans="2:10" ht="18" x14ac:dyDescent="0.25">
      <c r="B60" s="1" t="s">
        <v>26</v>
      </c>
    </row>
    <row r="62" spans="2:10" x14ac:dyDescent="0.2">
      <c r="C62" s="5" t="s">
        <v>0</v>
      </c>
      <c r="D62" s="5"/>
      <c r="E62" s="5" t="s">
        <v>1</v>
      </c>
      <c r="F62" s="5" t="s">
        <v>2</v>
      </c>
      <c r="G62" s="5" t="s">
        <v>3</v>
      </c>
      <c r="H62" s="5" t="s">
        <v>4</v>
      </c>
      <c r="I62" s="5" t="s">
        <v>5</v>
      </c>
      <c r="J62" s="5" t="s">
        <v>17</v>
      </c>
    </row>
    <row r="63" spans="2:10" x14ac:dyDescent="0.2">
      <c r="C63" s="10" t="s">
        <v>28</v>
      </c>
      <c r="E63">
        <v>5.5504187592748435</v>
      </c>
      <c r="F63">
        <v>4.2869612914459925</v>
      </c>
      <c r="H63">
        <v>3.8054897894556809</v>
      </c>
      <c r="I63">
        <v>4.8610782895926263</v>
      </c>
      <c r="J63" s="7">
        <f>AVERAGE(E63,F63,H63,I63)</f>
        <v>4.6259870324422856</v>
      </c>
    </row>
    <row r="64" spans="2:10" x14ac:dyDescent="0.2">
      <c r="C64" s="9" t="s">
        <v>29</v>
      </c>
      <c r="E64">
        <v>2.1919555452154977</v>
      </c>
      <c r="F64">
        <v>1.9408123086925526</v>
      </c>
      <c r="H64">
        <v>1.8315879727056712</v>
      </c>
      <c r="I64">
        <v>2.0660018112161418</v>
      </c>
      <c r="J64" s="7">
        <f>AVERAGE(E64,F64,H64,I64)</f>
        <v>2.007589409457466</v>
      </c>
    </row>
    <row r="65" spans="2:10" x14ac:dyDescent="0.2">
      <c r="C65" s="9" t="s">
        <v>30</v>
      </c>
      <c r="E65">
        <v>1.5355058501291201</v>
      </c>
      <c r="F65">
        <v>1.4729704737715243</v>
      </c>
      <c r="H65">
        <v>1.4260136816542819</v>
      </c>
      <c r="I65">
        <v>1.5607573475361456</v>
      </c>
      <c r="J65" s="7">
        <f>AVERAGE(E65,F65,H65,I65)</f>
        <v>1.498811838272768</v>
      </c>
    </row>
    <row r="66" spans="2:10" x14ac:dyDescent="0.2">
      <c r="C66" s="9" t="s">
        <v>31</v>
      </c>
      <c r="E66">
        <v>1.2780736558887118</v>
      </c>
      <c r="F66">
        <v>1.2661569486584066</v>
      </c>
      <c r="G66" t="s">
        <v>38</v>
      </c>
      <c r="H66">
        <v>1.2491088134705022</v>
      </c>
      <c r="I66">
        <v>1.3298321384938054</v>
      </c>
      <c r="J66" s="7">
        <f>AVERAGE(E66,F66,H66,I66)</f>
        <v>1.2807928891278566</v>
      </c>
    </row>
    <row r="67" spans="2:10" x14ac:dyDescent="0.2">
      <c r="C67" s="9" t="s">
        <v>32</v>
      </c>
      <c r="E67">
        <v>1.1580046198738774</v>
      </c>
      <c r="F67">
        <v>1.1619473612464115</v>
      </c>
      <c r="H67">
        <v>1.1543088820656591</v>
      </c>
      <c r="I67">
        <v>1.2098935059883995</v>
      </c>
      <c r="J67" s="7">
        <f>AVERAGE(E67,F67,H67,I67)</f>
        <v>1.1710385922935869</v>
      </c>
    </row>
    <row r="68" spans="2:10" x14ac:dyDescent="0.2">
      <c r="C68" s="9" t="s">
        <v>33</v>
      </c>
      <c r="E68">
        <v>1.0910156441730898</v>
      </c>
      <c r="F68">
        <v>1.0985550348685538</v>
      </c>
      <c r="H68">
        <v>1.0990402891735467</v>
      </c>
      <c r="I68">
        <v>1.1318606152099369</v>
      </c>
      <c r="J68" s="7">
        <f>AVERAGE(E68,F68,H68,I68)</f>
        <v>1.1051178958562817</v>
      </c>
    </row>
    <row r="69" spans="2:10" x14ac:dyDescent="0.2">
      <c r="C69" s="9" t="s">
        <v>34</v>
      </c>
      <c r="E69">
        <v>1.0570002726931995</v>
      </c>
      <c r="F69">
        <v>1.0742191623317148</v>
      </c>
      <c r="H69">
        <v>1.0614427046619344</v>
      </c>
      <c r="I69">
        <v>1.0827779491593035</v>
      </c>
      <c r="J69" s="7">
        <f>AVERAGE(E69,F69,H69,I69)</f>
        <v>1.0688600222115381</v>
      </c>
    </row>
    <row r="70" spans="2:10" x14ac:dyDescent="0.2">
      <c r="C70" s="9" t="s">
        <v>35</v>
      </c>
      <c r="E70">
        <v>1.0294693866710773</v>
      </c>
      <c r="F70">
        <v>1.0464658787660226</v>
      </c>
      <c r="H70">
        <v>1.0355068025950465</v>
      </c>
      <c r="I70">
        <v>1.049416959911216</v>
      </c>
      <c r="J70" s="7">
        <f>AVERAGE(E70,F70,H70,I70)</f>
        <v>1.0402147569858406</v>
      </c>
    </row>
    <row r="71" spans="2:10" x14ac:dyDescent="0.2">
      <c r="C71" s="9" t="s">
        <v>36</v>
      </c>
      <c r="E71">
        <v>1.0123312625531318</v>
      </c>
      <c r="F71">
        <v>1.0191073015124785</v>
      </c>
      <c r="H71">
        <v>1.0163570294191699</v>
      </c>
      <c r="I71">
        <v>1.0206579680733998</v>
      </c>
      <c r="J71" s="7">
        <f>AVERAGE(E71,F71,H71,I71)</f>
        <v>1.0171133903895451</v>
      </c>
    </row>
    <row r="72" spans="2:10" x14ac:dyDescent="0.2">
      <c r="C72" s="9" t="s">
        <v>37</v>
      </c>
      <c r="E72">
        <v>1</v>
      </c>
      <c r="F72">
        <v>1</v>
      </c>
      <c r="H72">
        <v>1</v>
      </c>
      <c r="I72">
        <v>1</v>
      </c>
      <c r="J72" s="7">
        <v>1</v>
      </c>
    </row>
    <row r="76" spans="2:10" ht="18" x14ac:dyDescent="0.25">
      <c r="B76" s="1" t="s">
        <v>25</v>
      </c>
    </row>
    <row r="78" spans="2:10" x14ac:dyDescent="0.2">
      <c r="C78" s="5" t="s">
        <v>0</v>
      </c>
      <c r="D78" s="5"/>
      <c r="E78" s="5" t="s">
        <v>1</v>
      </c>
      <c r="F78" s="5" t="s">
        <v>2</v>
      </c>
      <c r="G78" s="5" t="s">
        <v>3</v>
      </c>
      <c r="H78" s="5" t="s">
        <v>4</v>
      </c>
      <c r="I78" s="5" t="s">
        <v>5</v>
      </c>
      <c r="J78" s="5" t="s">
        <v>17</v>
      </c>
    </row>
    <row r="79" spans="2:10" x14ac:dyDescent="0.2">
      <c r="C79" s="10" t="s">
        <v>28</v>
      </c>
      <c r="E79">
        <v>2.1537502580990617</v>
      </c>
      <c r="F79">
        <v>3.0331945630815538</v>
      </c>
      <c r="G79">
        <v>1.4731611121018005</v>
      </c>
      <c r="H79">
        <v>2.8700608858031149</v>
      </c>
      <c r="I79">
        <v>2.8573780693862942</v>
      </c>
      <c r="J79" s="7">
        <f>AVERAGE(E79:I79)</f>
        <v>2.4775089776943653</v>
      </c>
    </row>
    <row r="80" spans="2:10" x14ac:dyDescent="0.2">
      <c r="C80" s="9" t="s">
        <v>29</v>
      </c>
      <c r="E80">
        <v>1.4020811777416489</v>
      </c>
      <c r="F80">
        <v>1.6901071842458</v>
      </c>
      <c r="G80">
        <v>1.121647584886446</v>
      </c>
      <c r="H80">
        <v>1.6816053255252648</v>
      </c>
      <c r="I80">
        <v>1.5414247715309368</v>
      </c>
      <c r="J80" s="7">
        <f>AVERAGE(E80:I80)</f>
        <v>1.4873732087860194</v>
      </c>
    </row>
    <row r="81" spans="3:10" x14ac:dyDescent="0.2">
      <c r="C81" s="9" t="s">
        <v>30</v>
      </c>
      <c r="E81">
        <v>1.2310137752523385</v>
      </c>
      <c r="F81">
        <v>1.4037997673398319</v>
      </c>
      <c r="G81">
        <v>1.0750560939684446</v>
      </c>
      <c r="H81">
        <v>1.4176597865020588</v>
      </c>
      <c r="I81">
        <v>1.3191667089022356</v>
      </c>
      <c r="J81" s="7">
        <f>AVERAGE(E81:I81)</f>
        <v>1.2893392263929819</v>
      </c>
    </row>
    <row r="82" spans="3:10" x14ac:dyDescent="0.2">
      <c r="C82" s="9" t="s">
        <v>31</v>
      </c>
      <c r="E82">
        <v>1.1369444577622556</v>
      </c>
      <c r="F82">
        <v>1.2478654314607029</v>
      </c>
      <c r="G82">
        <v>1.0530508282419728</v>
      </c>
      <c r="H82">
        <v>1.2533626299802869</v>
      </c>
      <c r="I82">
        <v>1.1880382828027978</v>
      </c>
      <c r="J82" s="7">
        <f>AVERAGE(E82:I82)</f>
        <v>1.1758523260496032</v>
      </c>
    </row>
    <row r="83" spans="3:10" x14ac:dyDescent="0.2">
      <c r="C83" s="9" t="s">
        <v>32</v>
      </c>
      <c r="E83">
        <v>1.0743324189445889</v>
      </c>
      <c r="F83">
        <v>1.1398791313944914</v>
      </c>
      <c r="G83">
        <v>1.0282143203784653</v>
      </c>
      <c r="H83">
        <v>1.1443781775205222</v>
      </c>
      <c r="I83">
        <v>1.1112148627702352</v>
      </c>
      <c r="J83" s="7">
        <f>AVERAGE(E83:I83)</f>
        <v>1.0996037822016604</v>
      </c>
    </row>
    <row r="84" spans="3:10" x14ac:dyDescent="0.2">
      <c r="C84" s="9" t="s">
        <v>33</v>
      </c>
      <c r="E84">
        <v>1.0403970266116269</v>
      </c>
      <c r="F84">
        <v>1.079376626816867</v>
      </c>
      <c r="G84">
        <v>1.0161971532397243</v>
      </c>
      <c r="H84">
        <v>1.0798398163431906</v>
      </c>
      <c r="I84">
        <v>1.0625032492679558</v>
      </c>
      <c r="J84" s="7">
        <f>AVERAGE(E84:I84)</f>
        <v>1.0556627744558731</v>
      </c>
    </row>
    <row r="85" spans="3:10" x14ac:dyDescent="0.2">
      <c r="C85" s="9" t="s">
        <v>34</v>
      </c>
      <c r="E85">
        <v>1.0182502779911593</v>
      </c>
      <c r="F85">
        <v>1.0414907960129325</v>
      </c>
      <c r="G85">
        <v>1.0082509291895081</v>
      </c>
      <c r="H85">
        <v>1.0457672362746793</v>
      </c>
      <c r="I85">
        <v>1.0359323404624206</v>
      </c>
      <c r="J85" s="7">
        <f>AVERAGE(E85:I85)</f>
        <v>1.0299383159861399</v>
      </c>
    </row>
    <row r="86" spans="3:10" x14ac:dyDescent="0.2">
      <c r="C86" s="9" t="s">
        <v>35</v>
      </c>
      <c r="E86">
        <v>1.0092390671361844</v>
      </c>
      <c r="F86">
        <v>1.0207177191336343</v>
      </c>
      <c r="G86">
        <v>1.0032282981043441</v>
      </c>
      <c r="H86">
        <v>1.0260689813657906</v>
      </c>
      <c r="I86">
        <v>1.0216534767432812</v>
      </c>
      <c r="J86" s="7">
        <f>AVERAGE(E86:I86)</f>
        <v>1.0161815084966468</v>
      </c>
    </row>
    <row r="87" spans="3:10" x14ac:dyDescent="0.2">
      <c r="C87" s="9" t="s">
        <v>36</v>
      </c>
      <c r="E87">
        <v>1.0039731810280605</v>
      </c>
      <c r="F87">
        <v>1.0111118404682269</v>
      </c>
      <c r="G87">
        <v>1.001873082952764</v>
      </c>
      <c r="H87">
        <v>1.0074441233616935</v>
      </c>
      <c r="I87">
        <v>1.0099842836286468</v>
      </c>
      <c r="J87" s="7">
        <f>AVERAGE(E87:I87)</f>
        <v>1.0068773022878783</v>
      </c>
    </row>
    <row r="88" spans="3:10" x14ac:dyDescent="0.2">
      <c r="C88" s="9" t="s">
        <v>37</v>
      </c>
      <c r="E88">
        <v>1</v>
      </c>
      <c r="F88">
        <v>1</v>
      </c>
      <c r="G88">
        <v>1</v>
      </c>
      <c r="H88">
        <v>1</v>
      </c>
      <c r="I88">
        <v>1</v>
      </c>
      <c r="J88" s="7">
        <f>AVERAGE(E88:I88)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Loss Ratio Analysis</vt:lpstr>
      <vt:lpstr>Age to ultimate LDF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Pushkar  Kandel</dc:creator>
  <cp:lastModifiedBy>Pushkar  Kandel</cp:lastModifiedBy>
  <dcterms:created xsi:type="dcterms:W3CDTF">2026-07-27T16:47:54Z</dcterms:created>
  <dcterms:modified xsi:type="dcterms:W3CDTF">2026-07-27T22:41:34Z</dcterms:modified>
</cp:coreProperties>
</file>