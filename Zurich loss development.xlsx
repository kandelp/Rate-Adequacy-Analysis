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kandel/Documents/Jobs/"/>
    </mc:Choice>
  </mc:AlternateContent>
  <xr:revisionPtr revIDLastSave="0" documentId="8_{C5BE274A-E674-AC46-8A46-BF5893325DAA}" xr6:coauthVersionLast="47" xr6:coauthVersionMax="47" xr10:uidLastSave="{00000000-0000-0000-0000-000000000000}"/>
  <bookViews>
    <workbookView xWindow="0" yWindow="0" windowWidth="33600" windowHeight="21000" activeTab="3" xr2:uid="{9C299995-74DC-9947-AF72-FFB9B3430440}"/>
  </bookViews>
  <sheets>
    <sheet name="loss development" sheetId="1" r:id="rId1"/>
    <sheet name="year to ultimate LDF" sheetId="2" r:id="rId2"/>
    <sheet name="loss reserve and loss ratio" sheetId="3" r:id="rId3"/>
    <sheet name="rate adequacy verdic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0" i="4" l="1"/>
  <c r="F109" i="4"/>
  <c r="F108" i="4"/>
  <c r="F107" i="4"/>
  <c r="F106" i="4"/>
  <c r="F105" i="4"/>
  <c r="F104" i="4"/>
  <c r="F103" i="4"/>
  <c r="F102" i="4"/>
  <c r="F101" i="4"/>
  <c r="F92" i="4"/>
  <c r="F91" i="4"/>
  <c r="F90" i="4"/>
  <c r="F89" i="4"/>
  <c r="F88" i="4"/>
  <c r="F87" i="4"/>
  <c r="F86" i="4"/>
  <c r="F85" i="4"/>
  <c r="F84" i="4"/>
  <c r="F83" i="4"/>
  <c r="F74" i="4"/>
  <c r="F73" i="4"/>
  <c r="F72" i="4"/>
  <c r="F71" i="4"/>
  <c r="F70" i="4"/>
  <c r="F69" i="4"/>
  <c r="F68" i="4"/>
  <c r="F67" i="4"/>
  <c r="F66" i="4"/>
  <c r="F65" i="4"/>
  <c r="F38" i="4"/>
  <c r="F37" i="4"/>
  <c r="F36" i="4"/>
  <c r="F35" i="4"/>
  <c r="F34" i="4"/>
  <c r="F33" i="4"/>
  <c r="F32" i="4"/>
  <c r="F31" i="4"/>
  <c r="F30" i="4"/>
  <c r="F29" i="4"/>
  <c r="F18" i="4"/>
  <c r="F17" i="4"/>
  <c r="F16" i="4"/>
  <c r="F15" i="4"/>
  <c r="F14" i="4"/>
  <c r="F13" i="4"/>
  <c r="F12" i="4"/>
  <c r="F11" i="4"/>
  <c r="F10" i="4"/>
  <c r="F9" i="4"/>
  <c r="D110" i="4"/>
  <c r="D109" i="4"/>
  <c r="D108" i="4"/>
  <c r="D107" i="4"/>
  <c r="D106" i="4"/>
  <c r="D105" i="4"/>
  <c r="D104" i="4"/>
  <c r="D103" i="4"/>
  <c r="D102" i="4"/>
  <c r="D101" i="4"/>
  <c r="D92" i="4"/>
  <c r="D91" i="4"/>
  <c r="D90" i="4"/>
  <c r="D89" i="4"/>
  <c r="D88" i="4"/>
  <c r="D87" i="4"/>
  <c r="D86" i="4"/>
  <c r="D85" i="4"/>
  <c r="D84" i="4"/>
  <c r="D83" i="4"/>
  <c r="D74" i="4"/>
  <c r="D73" i="4"/>
  <c r="D72" i="4"/>
  <c r="D71" i="4"/>
  <c r="D70" i="4"/>
  <c r="D69" i="4"/>
  <c r="D68" i="4"/>
  <c r="D67" i="4"/>
  <c r="D66" i="4"/>
  <c r="D65" i="4"/>
  <c r="D38" i="4"/>
  <c r="D37" i="4"/>
  <c r="D36" i="4"/>
  <c r="D35" i="4"/>
  <c r="D34" i="4"/>
  <c r="D33" i="4"/>
  <c r="D32" i="4"/>
  <c r="D31" i="4"/>
  <c r="D30" i="4"/>
  <c r="D29" i="4"/>
  <c r="D18" i="4"/>
  <c r="D17" i="4"/>
  <c r="D16" i="4"/>
  <c r="D15" i="4"/>
  <c r="D14" i="4"/>
  <c r="D13" i="4"/>
  <c r="D12" i="4"/>
  <c r="D11" i="4"/>
  <c r="D10" i="4"/>
  <c r="D9" i="4"/>
  <c r="J111" i="3"/>
  <c r="J110" i="3"/>
  <c r="J109" i="3"/>
  <c r="J108" i="3"/>
  <c r="J107" i="3"/>
  <c r="J106" i="3"/>
  <c r="J105" i="3"/>
  <c r="J104" i="3"/>
  <c r="J103" i="3"/>
  <c r="J102" i="3"/>
  <c r="J101" i="3"/>
  <c r="J93" i="3"/>
  <c r="J92" i="3"/>
  <c r="J91" i="3"/>
  <c r="J90" i="3"/>
  <c r="J89" i="3"/>
  <c r="J88" i="3"/>
  <c r="J87" i="3"/>
  <c r="J86" i="3"/>
  <c r="J85" i="3"/>
  <c r="J84" i="3"/>
  <c r="J83" i="3"/>
  <c r="J75" i="3"/>
  <c r="J74" i="3"/>
  <c r="J73" i="3"/>
  <c r="J72" i="3"/>
  <c r="J71" i="3"/>
  <c r="J70" i="3"/>
  <c r="J69" i="3"/>
  <c r="J68" i="3"/>
  <c r="J67" i="3"/>
  <c r="J66" i="3"/>
  <c r="J65" i="3"/>
  <c r="J39" i="3"/>
  <c r="J38" i="3"/>
  <c r="J37" i="3"/>
  <c r="J36" i="3"/>
  <c r="J35" i="3"/>
  <c r="J34" i="3"/>
  <c r="J33" i="3"/>
  <c r="J32" i="3"/>
  <c r="J31" i="3"/>
  <c r="J30" i="3"/>
  <c r="J29" i="3"/>
  <c r="J19" i="3"/>
  <c r="J18" i="3"/>
  <c r="J17" i="3"/>
  <c r="J16" i="3"/>
  <c r="J15" i="3"/>
  <c r="J14" i="3"/>
  <c r="J13" i="3"/>
  <c r="J12" i="3"/>
  <c r="J11" i="3"/>
  <c r="J10" i="3"/>
  <c r="J9" i="3"/>
  <c r="I111" i="3"/>
  <c r="I93" i="3"/>
  <c r="I75" i="3"/>
  <c r="I39" i="3"/>
  <c r="I19" i="3"/>
  <c r="H110" i="3"/>
  <c r="H109" i="3"/>
  <c r="H108" i="3"/>
  <c r="H107" i="3"/>
  <c r="H106" i="3"/>
  <c r="H105" i="3"/>
  <c r="H104" i="3"/>
  <c r="H103" i="3"/>
  <c r="H102" i="3"/>
  <c r="H101" i="3"/>
  <c r="H111" i="3" s="1"/>
  <c r="H92" i="3"/>
  <c r="H91" i="3"/>
  <c r="H90" i="3"/>
  <c r="H89" i="3"/>
  <c r="H88" i="3"/>
  <c r="H87" i="3"/>
  <c r="H86" i="3"/>
  <c r="H85" i="3"/>
  <c r="H84" i="3"/>
  <c r="H83" i="3"/>
  <c r="H93" i="3" s="1"/>
  <c r="H74" i="3"/>
  <c r="H73" i="3"/>
  <c r="H72" i="3"/>
  <c r="H71" i="3"/>
  <c r="H70" i="3"/>
  <c r="H69" i="3"/>
  <c r="H68" i="3"/>
  <c r="H67" i="3"/>
  <c r="H66" i="3"/>
  <c r="H65" i="3"/>
  <c r="H75" i="3" s="1"/>
  <c r="H38" i="3"/>
  <c r="H37" i="3"/>
  <c r="H36" i="3"/>
  <c r="H35" i="3"/>
  <c r="H34" i="3"/>
  <c r="H33" i="3"/>
  <c r="H32" i="3"/>
  <c r="H31" i="3"/>
  <c r="H30" i="3"/>
  <c r="H29" i="3"/>
  <c r="H39" i="3" s="1"/>
  <c r="H18" i="3"/>
  <c r="H17" i="3"/>
  <c r="H16" i="3"/>
  <c r="H15" i="3"/>
  <c r="H14" i="3"/>
  <c r="H13" i="3"/>
  <c r="H12" i="3"/>
  <c r="H11" i="3"/>
  <c r="H10" i="3"/>
  <c r="H9" i="3"/>
  <c r="H19" i="3" s="1"/>
  <c r="G110" i="3"/>
  <c r="G109" i="3"/>
  <c r="G108" i="3"/>
  <c r="G107" i="3"/>
  <c r="G106" i="3"/>
  <c r="G105" i="3"/>
  <c r="G104" i="3"/>
  <c r="G103" i="3"/>
  <c r="G102" i="3"/>
  <c r="G101" i="3"/>
  <c r="G111" i="3" s="1"/>
  <c r="G92" i="3"/>
  <c r="G91" i="3"/>
  <c r="G90" i="3"/>
  <c r="G89" i="3"/>
  <c r="G88" i="3"/>
  <c r="G87" i="3"/>
  <c r="G86" i="3"/>
  <c r="G85" i="3"/>
  <c r="G84" i="3"/>
  <c r="G83" i="3"/>
  <c r="G93" i="3" s="1"/>
  <c r="G74" i="3"/>
  <c r="G73" i="3"/>
  <c r="G72" i="3"/>
  <c r="G71" i="3"/>
  <c r="G70" i="3"/>
  <c r="G69" i="3"/>
  <c r="G68" i="3"/>
  <c r="G67" i="3"/>
  <c r="G66" i="3"/>
  <c r="G65" i="3"/>
  <c r="G75" i="3" s="1"/>
  <c r="G38" i="3"/>
  <c r="G37" i="3"/>
  <c r="G36" i="3"/>
  <c r="G35" i="3"/>
  <c r="G34" i="3"/>
  <c r="G33" i="3"/>
  <c r="G32" i="3"/>
  <c r="G31" i="3"/>
  <c r="G30" i="3"/>
  <c r="G29" i="3"/>
  <c r="G39" i="3" s="1"/>
  <c r="G18" i="3"/>
  <c r="G17" i="3"/>
  <c r="G16" i="3"/>
  <c r="G15" i="3"/>
  <c r="G14" i="3"/>
  <c r="G13" i="3"/>
  <c r="G12" i="3"/>
  <c r="G11" i="3"/>
  <c r="G10" i="3"/>
  <c r="G9" i="3"/>
  <c r="G19" i="3" s="1"/>
  <c r="F110" i="3"/>
  <c r="F109" i="3"/>
  <c r="F108" i="3"/>
  <c r="F107" i="3"/>
  <c r="F106" i="3"/>
  <c r="F105" i="3"/>
  <c r="F104" i="3"/>
  <c r="F103" i="3"/>
  <c r="F102" i="3"/>
  <c r="F92" i="3"/>
  <c r="F91" i="3"/>
  <c r="F90" i="3"/>
  <c r="F89" i="3"/>
  <c r="F88" i="3"/>
  <c r="F87" i="3"/>
  <c r="F86" i="3"/>
  <c r="F85" i="3"/>
  <c r="F84" i="3"/>
  <c r="F74" i="3"/>
  <c r="F73" i="3"/>
  <c r="F72" i="3"/>
  <c r="F71" i="3"/>
  <c r="F70" i="3"/>
  <c r="F69" i="3"/>
  <c r="F68" i="3"/>
  <c r="F67" i="3"/>
  <c r="F66" i="3"/>
  <c r="F38" i="3"/>
  <c r="F37" i="3"/>
  <c r="F36" i="3"/>
  <c r="F35" i="3"/>
  <c r="F34" i="3"/>
  <c r="F33" i="3"/>
  <c r="F32" i="3"/>
  <c r="F31" i="3"/>
  <c r="F30" i="3"/>
  <c r="F18" i="3"/>
  <c r="F17" i="3"/>
  <c r="F16" i="3"/>
  <c r="F15" i="3"/>
  <c r="F14" i="3"/>
  <c r="F13" i="3"/>
  <c r="F12" i="3"/>
  <c r="F11" i="3"/>
  <c r="F10" i="3"/>
  <c r="D110" i="3"/>
  <c r="D109" i="3"/>
  <c r="D108" i="3"/>
  <c r="D107" i="3"/>
  <c r="D106" i="3"/>
  <c r="D105" i="3"/>
  <c r="D104" i="3"/>
  <c r="D103" i="3"/>
  <c r="D102" i="3"/>
  <c r="D101" i="3"/>
  <c r="D92" i="3"/>
  <c r="D91" i="3"/>
  <c r="D90" i="3"/>
  <c r="D89" i="3"/>
  <c r="D88" i="3"/>
  <c r="D87" i="3"/>
  <c r="D86" i="3"/>
  <c r="D85" i="3"/>
  <c r="D84" i="3"/>
  <c r="D83" i="3"/>
  <c r="D74" i="3"/>
  <c r="D73" i="3"/>
  <c r="D72" i="3"/>
  <c r="D71" i="3"/>
  <c r="D70" i="3"/>
  <c r="D69" i="3"/>
  <c r="D68" i="3"/>
  <c r="D67" i="3"/>
  <c r="D66" i="3"/>
  <c r="D65" i="3"/>
  <c r="D38" i="3"/>
  <c r="D37" i="3"/>
  <c r="D36" i="3"/>
  <c r="D35" i="3"/>
  <c r="D34" i="3"/>
  <c r="D33" i="3"/>
  <c r="D32" i="3"/>
  <c r="D31" i="3"/>
  <c r="D30" i="3"/>
  <c r="D29" i="3"/>
  <c r="D18" i="3"/>
  <c r="D17" i="3"/>
  <c r="D16" i="3"/>
  <c r="D15" i="3"/>
  <c r="D14" i="3"/>
  <c r="D13" i="3"/>
  <c r="D12" i="3"/>
  <c r="D11" i="3"/>
  <c r="D10" i="3"/>
  <c r="D9" i="3"/>
  <c r="F109" i="2"/>
  <c r="F108" i="2"/>
  <c r="F107" i="2"/>
  <c r="F106" i="2"/>
  <c r="F105" i="2"/>
  <c r="F104" i="2"/>
  <c r="F103" i="2"/>
  <c r="F102" i="2"/>
  <c r="F101" i="2"/>
  <c r="F91" i="2"/>
  <c r="F90" i="2"/>
  <c r="F89" i="2"/>
  <c r="F88" i="2"/>
  <c r="F87" i="2"/>
  <c r="F86" i="2"/>
  <c r="F85" i="2"/>
  <c r="F84" i="2"/>
  <c r="F83" i="2"/>
  <c r="F73" i="2"/>
  <c r="F72" i="2"/>
  <c r="F71" i="2"/>
  <c r="F70" i="2"/>
  <c r="F69" i="2"/>
  <c r="F68" i="2"/>
  <c r="F67" i="2"/>
  <c r="F66" i="2"/>
  <c r="F65" i="2"/>
  <c r="F37" i="2"/>
  <c r="F36" i="2"/>
  <c r="F35" i="2"/>
  <c r="F34" i="2"/>
  <c r="F33" i="2"/>
  <c r="F32" i="2"/>
  <c r="F31" i="2"/>
  <c r="F30" i="2"/>
  <c r="F29" i="2"/>
  <c r="F17" i="2"/>
  <c r="F16" i="2"/>
  <c r="F15" i="2"/>
  <c r="F14" i="2"/>
  <c r="F13" i="2"/>
  <c r="F12" i="2"/>
  <c r="F11" i="2"/>
  <c r="F10" i="2"/>
  <c r="F9" i="2"/>
  <c r="D109" i="2"/>
  <c r="D108" i="2"/>
  <c r="D107" i="2"/>
  <c r="D106" i="2"/>
  <c r="D105" i="2"/>
  <c r="D104" i="2"/>
  <c r="D103" i="2"/>
  <c r="D102" i="2"/>
  <c r="D101" i="2"/>
  <c r="D91" i="2"/>
  <c r="D90" i="2"/>
  <c r="D89" i="2"/>
  <c r="D88" i="2"/>
  <c r="D87" i="2"/>
  <c r="D86" i="2"/>
  <c r="D85" i="2"/>
  <c r="D84" i="2"/>
  <c r="D83" i="2"/>
  <c r="D73" i="2"/>
  <c r="D72" i="2"/>
  <c r="D71" i="2"/>
  <c r="D70" i="2"/>
  <c r="D69" i="2"/>
  <c r="D68" i="2"/>
  <c r="D67" i="2"/>
  <c r="D66" i="2"/>
  <c r="D65" i="2"/>
  <c r="D37" i="2"/>
  <c r="D36" i="2"/>
  <c r="D35" i="2"/>
  <c r="D34" i="2"/>
  <c r="D33" i="2"/>
  <c r="D32" i="2"/>
  <c r="D31" i="2"/>
  <c r="D30" i="2"/>
  <c r="D29" i="2"/>
  <c r="D17" i="2"/>
  <c r="D16" i="2"/>
  <c r="D15" i="2"/>
  <c r="D14" i="2"/>
  <c r="D13" i="2"/>
  <c r="D12" i="2"/>
  <c r="D11" i="2"/>
  <c r="D10" i="2"/>
  <c r="D9" i="2"/>
</calcChain>
</file>

<file path=xl/sharedStrings.xml><?xml version="1.0" encoding="utf-8"?>
<sst xmlns="http://schemas.openxmlformats.org/spreadsheetml/2006/main" count="277" uniqueCount="46">
  <si>
    <t>Years in which losses where incurred</t>
  </si>
  <si>
    <t>Combined Cumulative Net Losses Across All Business</t>
  </si>
  <si>
    <t>Cumulative Net losses For Homeowners and Farmowners</t>
  </si>
  <si>
    <t>Cumulative Net losses For PRIVATE PASSENGER AUTO LIABILITY/MEDICAL</t>
  </si>
  <si>
    <t>Cumulative Net losses For COMMERCIAL AUTO/TRUCK LIABILITY/MEDICAL</t>
  </si>
  <si>
    <t>Cumulative Net losses For WORKERS' COMPENSATION</t>
  </si>
  <si>
    <t>Cumulative Net losses For COMMERCIAL MULTIPLE PERIL</t>
  </si>
  <si>
    <t>Insufficient Info</t>
  </si>
  <si>
    <t>Volume weighted loss development factor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</si>
  <si>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</si>
  <si>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</si>
  <si>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</si>
  <si>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</si>
  <si>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</si>
  <si>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</si>
  <si>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</si>
  <si>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</si>
  <si>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</si>
  <si>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</si>
  <si>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Year to ultimate loss development factor</t>
  </si>
  <si>
    <t>1 to ultimate</t>
  </si>
  <si>
    <t>2 to ultimate</t>
  </si>
  <si>
    <t>3 to ultimate</t>
  </si>
  <si>
    <t>4 to ultimate</t>
  </si>
  <si>
    <t>5 to ultimate</t>
  </si>
  <si>
    <t>6 to ultimate</t>
  </si>
  <si>
    <t>7 to ultimate</t>
  </si>
  <si>
    <t>8 to ultimate</t>
  </si>
  <si>
    <t>9 to ultimate</t>
  </si>
  <si>
    <t>10 to ultimate</t>
  </si>
  <si>
    <t>Accident Year</t>
  </si>
  <si>
    <t>Cumulative paid loss to date</t>
  </si>
  <si>
    <t>Age at latest evaluation</t>
  </si>
  <si>
    <t>Ultimate Loss development Factor</t>
  </si>
  <si>
    <t>Expected Loss(Chain Ladder Method)</t>
  </si>
  <si>
    <t>Loss Reserves(Chain Ladder Method)</t>
  </si>
  <si>
    <t>Earned Premiums</t>
  </si>
  <si>
    <t>Expected Loss Ratio</t>
  </si>
  <si>
    <t>Total</t>
  </si>
  <si>
    <t>Indicative Loss Ratio(Percentage)</t>
  </si>
  <si>
    <t>Target Loss Ratio%(Average )</t>
  </si>
  <si>
    <t>Difference(Points)</t>
  </si>
  <si>
    <t>Rate Adequacy  Verdict</t>
  </si>
  <si>
    <t>Roughly Adequate</t>
  </si>
  <si>
    <t>Overcharged</t>
  </si>
  <si>
    <t>Undercharged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</si>
</sst>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3" fillId="2" borderId="0" xfId="0" applyFont="1" applyFill="1"/>
    <xf numFmtId="164" fontId="4" fillId="0" borderId="0" xfId="0" applyNumberFormat="1" applyFont="1" applyAlignment="1">
      <alignment horizontal="right"/>
    </xf>
    <xf numFmtId="0" fontId="0" fillId="3" borderId="0" xfId="0" applyFill="1"/>
    <xf numFmtId="3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3" fontId="0" fillId="0" borderId="0" xfId="0" applyNumberFormat="1"/>
    <xf numFmtId="2" fontId="0" fillId="0" borderId="0" xfId="0" applyNumberFormat="1"/>
    <xf numFmtId="2" fontId="5" fillId="0" borderId="0" xfId="0" applyNumberFormat="1" applyFont="1"/>
    <xf numFmtId="3" fontId="5" fillId="0" borderId="0" xfId="0" applyNumberFormat="1" applyFont="1"/>
    <xf numFmtId="2" fontId="6" fillId="0" borderId="0" xfId="0" applyNumberFormat="1" applyFont="1"/>
    <xf numFmtId="0" fontId="5" fillId="4" borderId="0" xfId="0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265D-45CA-BA46-A5FB-AD1EDA08EEEA}">
  <dimension ref="B6:W110"/>
  <sheetViews>
    <sheetView topLeftCell="B1" workbookViewId="0">
      <selection activeCell="T32" sqref="T32"/>
    </sheetView>
  </sheetViews>
  <sheetFormatPr baseColWidth="10" defaultRowHeight="16" x14ac:dyDescent="0.2"/>
  <cols>
    <col min="2" max="2" width="50.83203125" bestFit="1" customWidth="1"/>
    <col min="5" max="5" width="13.5" bestFit="1" customWidth="1"/>
  </cols>
  <sheetData>
    <row r="6" spans="2:23" x14ac:dyDescent="0.2">
      <c r="B6" s="4" t="s">
        <v>1</v>
      </c>
    </row>
    <row r="8" spans="2:23" x14ac:dyDescent="0.2">
      <c r="B8" s="1" t="s">
        <v>0</v>
      </c>
      <c r="C8" s="3">
        <v>0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</row>
    <row r="9" spans="2:23" x14ac:dyDescent="0.2">
      <c r="B9" s="2">
        <v>2016</v>
      </c>
      <c r="C9" s="6">
        <v>614934</v>
      </c>
      <c r="D9" s="6">
        <v>1382959</v>
      </c>
      <c r="E9" s="6">
        <v>1778178</v>
      </c>
      <c r="F9" s="6">
        <v>2117452</v>
      </c>
      <c r="G9" s="6">
        <v>2302752</v>
      </c>
      <c r="H9" s="6">
        <v>2433140</v>
      </c>
      <c r="I9" s="6">
        <v>2554231</v>
      </c>
      <c r="J9" s="6">
        <v>2642848</v>
      </c>
      <c r="K9" s="6">
        <v>2715254</v>
      </c>
      <c r="L9" s="6">
        <v>2761135</v>
      </c>
    </row>
    <row r="10" spans="2:23" x14ac:dyDescent="0.2">
      <c r="B10" s="2">
        <v>2017</v>
      </c>
      <c r="C10" s="6">
        <v>981175</v>
      </c>
      <c r="D10" s="6">
        <v>1730257</v>
      </c>
      <c r="E10" s="6">
        <v>2112888</v>
      </c>
      <c r="F10" s="6">
        <v>2401046</v>
      </c>
      <c r="G10" s="6">
        <v>2601193</v>
      </c>
      <c r="H10" s="6">
        <v>2795207</v>
      </c>
      <c r="I10" s="6">
        <v>2961170</v>
      </c>
      <c r="J10" s="6">
        <v>3063588</v>
      </c>
      <c r="K10" s="6">
        <v>3153791</v>
      </c>
      <c r="L10" s="6">
        <v>0</v>
      </c>
    </row>
    <row r="11" spans="2:23" x14ac:dyDescent="0.2">
      <c r="B11" s="2">
        <v>2018</v>
      </c>
      <c r="C11" s="6">
        <v>985541</v>
      </c>
      <c r="D11" s="6">
        <v>1840750</v>
      </c>
      <c r="E11" s="6">
        <v>2228910</v>
      </c>
      <c r="F11" s="6">
        <v>2490315</v>
      </c>
      <c r="G11" s="6">
        <v>2759183</v>
      </c>
      <c r="H11" s="6">
        <v>2937599</v>
      </c>
      <c r="I11" s="6">
        <v>3109592</v>
      </c>
      <c r="J11" s="6">
        <v>3195426</v>
      </c>
      <c r="K11" s="6">
        <v>0</v>
      </c>
      <c r="L11" s="6">
        <v>0</v>
      </c>
    </row>
    <row r="12" spans="2:23" x14ac:dyDescent="0.2">
      <c r="B12" s="2">
        <v>2019</v>
      </c>
      <c r="C12" s="6">
        <v>1201241</v>
      </c>
      <c r="D12" s="6">
        <v>1815635</v>
      </c>
      <c r="E12" s="6">
        <v>2111383</v>
      </c>
      <c r="F12" s="6">
        <v>2419389</v>
      </c>
      <c r="G12" s="6">
        <v>2638912</v>
      </c>
      <c r="H12" s="6">
        <v>2786081</v>
      </c>
      <c r="I12" s="6">
        <v>2881238</v>
      </c>
      <c r="J12" s="6">
        <v>0</v>
      </c>
      <c r="K12" s="6">
        <v>0</v>
      </c>
      <c r="L12" s="6">
        <v>0</v>
      </c>
    </row>
    <row r="13" spans="2:23" x14ac:dyDescent="0.2">
      <c r="B13" s="2">
        <v>2020</v>
      </c>
      <c r="C13" s="6">
        <v>1148786</v>
      </c>
      <c r="D13" s="6">
        <v>1735749</v>
      </c>
      <c r="E13" s="6">
        <v>1998947</v>
      </c>
      <c r="F13" s="6">
        <v>2219411</v>
      </c>
      <c r="G13" s="6">
        <v>2422855</v>
      </c>
      <c r="H13" s="6">
        <v>2555281</v>
      </c>
      <c r="I13" s="6">
        <v>0</v>
      </c>
      <c r="J13" s="6">
        <v>0</v>
      </c>
      <c r="K13" s="6">
        <v>0</v>
      </c>
      <c r="L13" s="6">
        <v>0</v>
      </c>
    </row>
    <row r="14" spans="2:23" x14ac:dyDescent="0.2">
      <c r="B14" s="2">
        <v>2021</v>
      </c>
      <c r="C14" s="6">
        <v>1223228</v>
      </c>
      <c r="D14" s="6">
        <v>2028937</v>
      </c>
      <c r="E14" s="6">
        <v>2306989</v>
      </c>
      <c r="F14" s="6">
        <v>2573309</v>
      </c>
      <c r="G14" s="6">
        <v>2780307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Q14" s="2"/>
      <c r="R14" s="3"/>
      <c r="S14" s="3"/>
      <c r="T14" s="3"/>
      <c r="U14" s="3"/>
      <c r="V14" s="3"/>
      <c r="W14" s="3"/>
    </row>
    <row r="15" spans="2:23" x14ac:dyDescent="0.2">
      <c r="B15" s="2">
        <v>2022</v>
      </c>
      <c r="C15" s="6">
        <v>1482407</v>
      </c>
      <c r="D15" s="6">
        <v>2384101</v>
      </c>
      <c r="E15" s="6">
        <v>2768547</v>
      </c>
      <c r="F15" s="6">
        <v>3028044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Q15" s="2"/>
      <c r="R15" s="8"/>
      <c r="S15" s="8"/>
      <c r="T15" s="8"/>
      <c r="U15" s="8"/>
      <c r="V15" s="8"/>
      <c r="W15" s="8"/>
    </row>
    <row r="16" spans="2:23" x14ac:dyDescent="0.2">
      <c r="B16" s="2">
        <v>2023</v>
      </c>
      <c r="C16" s="6">
        <v>1543016</v>
      </c>
      <c r="D16" s="6">
        <v>2329972</v>
      </c>
      <c r="E16" s="6">
        <v>2690711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Q16" s="2"/>
      <c r="R16" s="8"/>
      <c r="S16" s="8"/>
      <c r="T16" s="8"/>
      <c r="U16" s="8"/>
      <c r="V16" s="8"/>
      <c r="W16" s="8"/>
    </row>
    <row r="17" spans="2:23" x14ac:dyDescent="0.2">
      <c r="B17" s="2">
        <v>2024</v>
      </c>
      <c r="C17" s="6">
        <v>1213230</v>
      </c>
      <c r="D17" s="6">
        <v>2216863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Q17" s="2"/>
      <c r="R17" s="8"/>
      <c r="S17" s="8"/>
      <c r="T17" s="8"/>
      <c r="U17" s="8"/>
      <c r="V17" s="8"/>
      <c r="W17" s="8"/>
    </row>
    <row r="18" spans="2:23" x14ac:dyDescent="0.2">
      <c r="B18" s="2">
        <v>2025</v>
      </c>
      <c r="C18" s="6">
        <v>1045692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Q18" s="2"/>
      <c r="R18" s="8"/>
      <c r="S18" s="8"/>
      <c r="T18" s="8"/>
      <c r="U18" s="8"/>
      <c r="V18" s="8"/>
      <c r="W18" s="8"/>
    </row>
    <row r="19" spans="2:23" x14ac:dyDescent="0.2">
      <c r="Q19" s="2"/>
      <c r="R19" s="8"/>
      <c r="S19" s="8"/>
      <c r="T19" s="8"/>
      <c r="U19" s="8"/>
      <c r="V19" s="8"/>
      <c r="W19" s="8"/>
    </row>
    <row r="20" spans="2:23" x14ac:dyDescent="0.2">
      <c r="Q20" s="2"/>
      <c r="R20" s="8"/>
      <c r="S20" s="8"/>
      <c r="T20" s="8"/>
      <c r="U20" s="8"/>
      <c r="V20" s="8"/>
      <c r="W20" s="8"/>
    </row>
    <row r="21" spans="2:23" x14ac:dyDescent="0.2">
      <c r="Q21" s="2"/>
      <c r="R21" s="8"/>
      <c r="S21" s="8"/>
      <c r="T21" s="8"/>
      <c r="U21" s="8"/>
      <c r="V21" s="8"/>
      <c r="W21" s="8"/>
    </row>
    <row r="22" spans="2:23" x14ac:dyDescent="0.2">
      <c r="Q22" s="2"/>
      <c r="R22" s="8"/>
      <c r="S22" s="8"/>
      <c r="T22" s="8"/>
      <c r="U22" s="8"/>
      <c r="V22" s="8"/>
      <c r="W22" s="8"/>
    </row>
    <row r="23" spans="2:23" x14ac:dyDescent="0.2">
      <c r="Q23" s="2"/>
      <c r="R23" s="8"/>
      <c r="S23" s="8"/>
      <c r="T23" s="8"/>
      <c r="U23" s="8"/>
      <c r="V23" s="8"/>
      <c r="W23" s="8"/>
    </row>
    <row r="24" spans="2:23" x14ac:dyDescent="0.2">
      <c r="Q24" s="2"/>
      <c r="R24" s="8"/>
      <c r="S24" s="8"/>
      <c r="T24" s="8"/>
      <c r="U24" s="8"/>
      <c r="V24" s="8"/>
      <c r="W24" s="8"/>
    </row>
    <row r="26" spans="2:23" x14ac:dyDescent="0.2">
      <c r="B26" s="4" t="s">
        <v>2</v>
      </c>
    </row>
    <row r="28" spans="2:23" x14ac:dyDescent="0.2">
      <c r="B28" s="1" t="s">
        <v>0</v>
      </c>
      <c r="C28" s="3">
        <v>0</v>
      </c>
      <c r="D28" s="3">
        <v>1</v>
      </c>
      <c r="E28" s="3">
        <v>2</v>
      </c>
      <c r="F28" s="3">
        <v>3</v>
      </c>
      <c r="G28" s="3">
        <v>4</v>
      </c>
      <c r="H28" s="3">
        <v>5</v>
      </c>
      <c r="I28" s="3">
        <v>6</v>
      </c>
      <c r="J28" s="3">
        <v>7</v>
      </c>
      <c r="K28" s="3">
        <v>8</v>
      </c>
      <c r="L28" s="3">
        <v>9</v>
      </c>
    </row>
    <row r="29" spans="2:23" x14ac:dyDescent="0.2">
      <c r="B29" s="2">
        <v>2016</v>
      </c>
      <c r="C29" s="6">
        <v>373</v>
      </c>
      <c r="D29" s="6">
        <v>1135</v>
      </c>
      <c r="E29" s="6">
        <v>1327</v>
      </c>
      <c r="F29" s="6">
        <v>1359</v>
      </c>
      <c r="G29" s="6">
        <v>1515</v>
      </c>
      <c r="H29" s="6">
        <v>1524</v>
      </c>
      <c r="I29" s="6">
        <v>1539</v>
      </c>
      <c r="J29" s="6">
        <v>1539</v>
      </c>
      <c r="K29" s="6">
        <v>1540</v>
      </c>
      <c r="L29" s="6">
        <v>1540</v>
      </c>
    </row>
    <row r="30" spans="2:23" x14ac:dyDescent="0.2">
      <c r="B30" s="2">
        <v>2017</v>
      </c>
      <c r="C30" s="6">
        <v>205</v>
      </c>
      <c r="D30" s="6">
        <v>834</v>
      </c>
      <c r="E30" s="6">
        <v>1000</v>
      </c>
      <c r="F30" s="6">
        <v>1039</v>
      </c>
      <c r="G30" s="6">
        <v>1052</v>
      </c>
      <c r="H30" s="6">
        <v>1199</v>
      </c>
      <c r="I30" s="6">
        <v>1205</v>
      </c>
      <c r="J30" s="6">
        <v>1210</v>
      </c>
      <c r="K30" s="6">
        <v>1210</v>
      </c>
      <c r="L30" s="6">
        <v>0</v>
      </c>
    </row>
    <row r="31" spans="2:23" x14ac:dyDescent="0.2">
      <c r="B31" s="2">
        <v>2018</v>
      </c>
      <c r="C31" s="6">
        <v>680</v>
      </c>
      <c r="D31" s="6">
        <v>1329</v>
      </c>
      <c r="E31" s="6">
        <v>1471</v>
      </c>
      <c r="F31" s="6">
        <v>1506</v>
      </c>
      <c r="G31" s="6">
        <v>1514</v>
      </c>
      <c r="H31" s="6">
        <v>1525</v>
      </c>
      <c r="I31" s="6">
        <v>1529</v>
      </c>
      <c r="J31" s="6">
        <v>1527</v>
      </c>
      <c r="K31" s="6">
        <v>0</v>
      </c>
      <c r="L31" s="6">
        <v>0</v>
      </c>
    </row>
    <row r="32" spans="2:23" x14ac:dyDescent="0.2">
      <c r="B32" s="2">
        <v>2019</v>
      </c>
      <c r="C32" s="6">
        <v>2736</v>
      </c>
      <c r="D32" s="6">
        <v>5323</v>
      </c>
      <c r="E32" s="6">
        <v>5895</v>
      </c>
      <c r="F32" s="6">
        <v>6045</v>
      </c>
      <c r="G32" s="6">
        <v>6185</v>
      </c>
      <c r="H32" s="6">
        <v>6195</v>
      </c>
      <c r="I32" s="6">
        <v>6196</v>
      </c>
      <c r="J32" s="6">
        <v>0</v>
      </c>
      <c r="K32" s="6">
        <v>0</v>
      </c>
      <c r="L32" s="6">
        <v>0</v>
      </c>
    </row>
    <row r="33" spans="2:12" x14ac:dyDescent="0.2">
      <c r="B33" s="2">
        <v>2020</v>
      </c>
      <c r="C33" s="6">
        <v>8434</v>
      </c>
      <c r="D33" s="6">
        <v>14773</v>
      </c>
      <c r="E33" s="6">
        <v>16203</v>
      </c>
      <c r="F33" s="6">
        <v>16595</v>
      </c>
      <c r="G33" s="6">
        <v>16632</v>
      </c>
      <c r="H33" s="6">
        <v>16666</v>
      </c>
      <c r="I33" s="6">
        <v>0</v>
      </c>
      <c r="J33" s="6">
        <v>0</v>
      </c>
      <c r="K33" s="6">
        <v>0</v>
      </c>
      <c r="L33" s="6">
        <v>0</v>
      </c>
    </row>
    <row r="34" spans="2:12" x14ac:dyDescent="0.2">
      <c r="B34" s="2">
        <v>2021</v>
      </c>
      <c r="C34" s="6">
        <v>24006</v>
      </c>
      <c r="D34" s="6">
        <v>42654</v>
      </c>
      <c r="E34" s="6">
        <v>44895</v>
      </c>
      <c r="F34" s="6">
        <v>45396</v>
      </c>
      <c r="G34" s="6">
        <v>45701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2:12" x14ac:dyDescent="0.2">
      <c r="B35" s="2">
        <v>2022</v>
      </c>
      <c r="C35" s="6">
        <v>21056</v>
      </c>
      <c r="D35" s="6">
        <v>36507</v>
      </c>
      <c r="E35" s="6">
        <v>38464</v>
      </c>
      <c r="F35" s="6">
        <v>38726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2:12" x14ac:dyDescent="0.2">
      <c r="B36" s="2">
        <v>2023</v>
      </c>
      <c r="C36" s="6">
        <v>24837</v>
      </c>
      <c r="D36" s="6">
        <v>36561</v>
      </c>
      <c r="E36" s="6">
        <v>37785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2:12" x14ac:dyDescent="0.2">
      <c r="B37" s="2">
        <v>2024</v>
      </c>
      <c r="C37" s="6">
        <v>16732</v>
      </c>
      <c r="D37" s="6">
        <v>23980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2:12" x14ac:dyDescent="0.2">
      <c r="B38" s="2">
        <v>2025</v>
      </c>
      <c r="C38" s="6">
        <v>24301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44" spans="2:12" x14ac:dyDescent="0.2">
      <c r="B44" s="5" t="s">
        <v>3</v>
      </c>
    </row>
    <row r="46" spans="2:12" x14ac:dyDescent="0.2">
      <c r="B46" s="1" t="s">
        <v>0</v>
      </c>
      <c r="C46" s="3">
        <v>0</v>
      </c>
      <c r="D46" s="3">
        <v>1</v>
      </c>
      <c r="E46" s="3">
        <v>2</v>
      </c>
      <c r="F46" s="3">
        <v>3</v>
      </c>
      <c r="G46" s="3">
        <v>4</v>
      </c>
      <c r="H46" s="3">
        <v>5</v>
      </c>
      <c r="I46" s="3">
        <v>6</v>
      </c>
      <c r="J46" s="3">
        <v>7</v>
      </c>
      <c r="K46" s="3">
        <v>8</v>
      </c>
      <c r="L46" s="3">
        <v>9</v>
      </c>
    </row>
    <row r="47" spans="2:12" x14ac:dyDescent="0.2">
      <c r="B47" s="2">
        <v>2016</v>
      </c>
    </row>
    <row r="48" spans="2:12" x14ac:dyDescent="0.2">
      <c r="B48" s="2">
        <v>2017</v>
      </c>
    </row>
    <row r="49" spans="2:12" x14ac:dyDescent="0.2">
      <c r="B49" s="2">
        <v>2018</v>
      </c>
    </row>
    <row r="50" spans="2:12" x14ac:dyDescent="0.2">
      <c r="B50" s="2">
        <v>2019</v>
      </c>
    </row>
    <row r="51" spans="2:12" x14ac:dyDescent="0.2">
      <c r="B51" s="2">
        <v>2020</v>
      </c>
      <c r="E51" s="7" t="s">
        <v>7</v>
      </c>
    </row>
    <row r="52" spans="2:12" x14ac:dyDescent="0.2">
      <c r="B52" s="2">
        <v>2021</v>
      </c>
    </row>
    <row r="53" spans="2:12" x14ac:dyDescent="0.2">
      <c r="B53" s="2">
        <v>2022</v>
      </c>
    </row>
    <row r="54" spans="2:12" x14ac:dyDescent="0.2">
      <c r="B54" s="2">
        <v>2023</v>
      </c>
    </row>
    <row r="55" spans="2:12" x14ac:dyDescent="0.2">
      <c r="B55" s="2">
        <v>2024</v>
      </c>
    </row>
    <row r="56" spans="2:12" x14ac:dyDescent="0.2">
      <c r="B56" s="2">
        <v>2025</v>
      </c>
    </row>
    <row r="62" spans="2:12" x14ac:dyDescent="0.2">
      <c r="B62" s="5" t="s">
        <v>4</v>
      </c>
    </row>
    <row r="64" spans="2:12" x14ac:dyDescent="0.2">
      <c r="B64" s="1" t="s">
        <v>0</v>
      </c>
      <c r="C64" s="3">
        <v>0</v>
      </c>
      <c r="D64" s="3">
        <v>1</v>
      </c>
      <c r="E64" s="3">
        <v>2</v>
      </c>
      <c r="F64" s="3">
        <v>3</v>
      </c>
      <c r="G64" s="3">
        <v>4</v>
      </c>
      <c r="H64" s="3">
        <v>5</v>
      </c>
      <c r="I64" s="3">
        <v>6</v>
      </c>
      <c r="J64" s="3">
        <v>7</v>
      </c>
      <c r="K64" s="3">
        <v>8</v>
      </c>
      <c r="L64" s="3">
        <v>9</v>
      </c>
    </row>
    <row r="65" spans="2:12" x14ac:dyDescent="0.2">
      <c r="B65" s="2">
        <v>2016</v>
      </c>
      <c r="C65" s="6">
        <v>33814</v>
      </c>
      <c r="D65" s="6">
        <v>95496</v>
      </c>
      <c r="E65" s="6">
        <v>157208</v>
      </c>
      <c r="F65" s="6">
        <v>224071</v>
      </c>
      <c r="G65" s="6">
        <v>256326</v>
      </c>
      <c r="H65" s="6">
        <v>270358</v>
      </c>
      <c r="I65" s="6">
        <v>284227</v>
      </c>
      <c r="J65" s="6">
        <v>292383</v>
      </c>
      <c r="K65" s="6">
        <v>297471</v>
      </c>
      <c r="L65" s="6">
        <v>303406</v>
      </c>
    </row>
    <row r="66" spans="2:12" x14ac:dyDescent="0.2">
      <c r="B66" s="2">
        <v>2017</v>
      </c>
      <c r="C66" s="6">
        <v>33429</v>
      </c>
      <c r="D66" s="6">
        <v>90151</v>
      </c>
      <c r="E66" s="6">
        <v>153804</v>
      </c>
      <c r="F66" s="6">
        <v>206816</v>
      </c>
      <c r="G66" s="6">
        <v>243630</v>
      </c>
      <c r="H66" s="6">
        <v>268973</v>
      </c>
      <c r="I66" s="6">
        <v>280458</v>
      </c>
      <c r="J66" s="6">
        <v>287024</v>
      </c>
      <c r="K66" s="6">
        <v>288681</v>
      </c>
      <c r="L66" s="6">
        <v>0</v>
      </c>
    </row>
    <row r="67" spans="2:12" x14ac:dyDescent="0.2">
      <c r="B67" s="2">
        <v>2018</v>
      </c>
      <c r="C67" s="6">
        <v>32492</v>
      </c>
      <c r="D67" s="6">
        <v>89008</v>
      </c>
      <c r="E67" s="6">
        <v>142715</v>
      </c>
      <c r="F67" s="6">
        <v>186065</v>
      </c>
      <c r="G67" s="6">
        <v>228782</v>
      </c>
      <c r="H67" s="6">
        <v>259443</v>
      </c>
      <c r="I67" s="6">
        <v>277169</v>
      </c>
      <c r="J67" s="6">
        <v>282087</v>
      </c>
      <c r="K67" s="6">
        <v>0</v>
      </c>
      <c r="L67" s="6">
        <v>0</v>
      </c>
    </row>
    <row r="68" spans="2:12" x14ac:dyDescent="0.2">
      <c r="B68" s="2">
        <v>2019</v>
      </c>
      <c r="C68" s="6">
        <v>27927</v>
      </c>
      <c r="D68" s="6">
        <v>76832</v>
      </c>
      <c r="E68" s="6">
        <v>126329</v>
      </c>
      <c r="F68" s="6">
        <v>180341</v>
      </c>
      <c r="G68" s="6">
        <v>227199</v>
      </c>
      <c r="H68" s="6">
        <v>250088</v>
      </c>
      <c r="I68" s="6">
        <v>266627</v>
      </c>
      <c r="J68" s="6">
        <v>0</v>
      </c>
      <c r="K68" s="6">
        <v>0</v>
      </c>
      <c r="L68" s="6">
        <v>0</v>
      </c>
    </row>
    <row r="69" spans="2:12" x14ac:dyDescent="0.2">
      <c r="B69" s="2">
        <v>2020</v>
      </c>
      <c r="C69" s="6">
        <v>18757</v>
      </c>
      <c r="D69" s="6">
        <v>55562</v>
      </c>
      <c r="E69" s="6">
        <v>104394</v>
      </c>
      <c r="F69" s="6">
        <v>165474</v>
      </c>
      <c r="G69" s="6">
        <v>215797</v>
      </c>
      <c r="H69" s="6">
        <v>232438</v>
      </c>
      <c r="I69" s="6">
        <v>0</v>
      </c>
      <c r="J69" s="6">
        <v>0</v>
      </c>
      <c r="K69" s="6">
        <v>0</v>
      </c>
      <c r="L69" s="6">
        <v>0</v>
      </c>
    </row>
    <row r="70" spans="2:12" x14ac:dyDescent="0.2">
      <c r="B70" s="2">
        <v>2021</v>
      </c>
      <c r="C70" s="6">
        <v>23173</v>
      </c>
      <c r="D70" s="6">
        <v>80218</v>
      </c>
      <c r="E70" s="6">
        <v>155544</v>
      </c>
      <c r="F70" s="6">
        <v>230566</v>
      </c>
      <c r="G70" s="6">
        <v>280082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spans="2:12" x14ac:dyDescent="0.2">
      <c r="B71" s="2">
        <v>2022</v>
      </c>
      <c r="C71" s="6">
        <v>23743</v>
      </c>
      <c r="D71" s="6">
        <v>96034</v>
      </c>
      <c r="E71" s="6">
        <v>190942</v>
      </c>
      <c r="F71" s="6">
        <v>276936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spans="2:12" x14ac:dyDescent="0.2">
      <c r="B72" s="2">
        <v>2023</v>
      </c>
      <c r="C72" s="6">
        <v>27629</v>
      </c>
      <c r="D72" s="6">
        <v>104013</v>
      </c>
      <c r="E72" s="6">
        <v>219976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spans="2:12" x14ac:dyDescent="0.2">
      <c r="B73" s="2">
        <v>2024</v>
      </c>
      <c r="C73" s="6">
        <v>24063</v>
      </c>
      <c r="D73" s="6">
        <v>109673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spans="2:12" x14ac:dyDescent="0.2">
      <c r="B74" s="2">
        <v>2025</v>
      </c>
      <c r="C74" s="6">
        <v>22076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80" spans="2:12" x14ac:dyDescent="0.2">
      <c r="B80" s="5" t="s">
        <v>5</v>
      </c>
    </row>
    <row r="82" spans="2:12" x14ac:dyDescent="0.2">
      <c r="B82" s="1" t="s">
        <v>0</v>
      </c>
      <c r="C82" s="3">
        <v>0</v>
      </c>
      <c r="D82" s="3">
        <v>1</v>
      </c>
      <c r="E82" s="3">
        <v>2</v>
      </c>
      <c r="F82" s="3">
        <v>3</v>
      </c>
      <c r="G82" s="3">
        <v>4</v>
      </c>
      <c r="H82" s="3">
        <v>5</v>
      </c>
      <c r="I82" s="3">
        <v>6</v>
      </c>
      <c r="J82" s="3">
        <v>7</v>
      </c>
      <c r="K82" s="3">
        <v>8</v>
      </c>
      <c r="L82" s="3">
        <v>9</v>
      </c>
    </row>
    <row r="83" spans="2:12" x14ac:dyDescent="0.2">
      <c r="B83" s="2">
        <v>2016</v>
      </c>
      <c r="C83" s="6">
        <v>89849</v>
      </c>
      <c r="D83" s="6">
        <v>206612</v>
      </c>
      <c r="E83" s="6">
        <v>278552</v>
      </c>
      <c r="F83" s="6">
        <v>329397</v>
      </c>
      <c r="G83" s="6">
        <v>356487</v>
      </c>
      <c r="H83" s="6">
        <v>379128</v>
      </c>
      <c r="I83" s="6">
        <v>397043</v>
      </c>
      <c r="J83" s="6">
        <v>408793</v>
      </c>
      <c r="K83" s="6">
        <v>419838</v>
      </c>
      <c r="L83" s="6">
        <v>428511</v>
      </c>
    </row>
    <row r="84" spans="2:12" x14ac:dyDescent="0.2">
      <c r="B84" s="2">
        <v>2017</v>
      </c>
      <c r="C84" s="6">
        <v>91115</v>
      </c>
      <c r="D84" s="6">
        <v>215687</v>
      </c>
      <c r="E84" s="6">
        <v>287690</v>
      </c>
      <c r="F84" s="6">
        <v>333558</v>
      </c>
      <c r="G84" s="6">
        <v>363143</v>
      </c>
      <c r="H84" s="6">
        <v>385435</v>
      </c>
      <c r="I84" s="6">
        <v>401479</v>
      </c>
      <c r="J84" s="6">
        <v>416670</v>
      </c>
      <c r="K84" s="6">
        <v>428884</v>
      </c>
      <c r="L84" s="6">
        <v>0</v>
      </c>
    </row>
    <row r="85" spans="2:12" x14ac:dyDescent="0.2">
      <c r="B85" s="2">
        <v>2018</v>
      </c>
      <c r="C85" s="6">
        <v>89428</v>
      </c>
      <c r="D85" s="6">
        <v>219921</v>
      </c>
      <c r="E85" s="6">
        <v>290046</v>
      </c>
      <c r="F85" s="6">
        <v>336992</v>
      </c>
      <c r="G85" s="6">
        <v>369412</v>
      </c>
      <c r="H85" s="6">
        <v>396098</v>
      </c>
      <c r="I85" s="6">
        <v>414563</v>
      </c>
      <c r="J85" s="6">
        <v>426186</v>
      </c>
      <c r="K85" s="6">
        <v>0</v>
      </c>
      <c r="L85" s="6">
        <v>0</v>
      </c>
    </row>
    <row r="86" spans="2:12" x14ac:dyDescent="0.2">
      <c r="B86" s="2">
        <v>2019</v>
      </c>
      <c r="C86" s="6">
        <v>91134</v>
      </c>
      <c r="D86" s="6">
        <v>198969</v>
      </c>
      <c r="E86" s="6">
        <v>263222</v>
      </c>
      <c r="F86" s="6">
        <v>311425</v>
      </c>
      <c r="G86" s="6">
        <v>341592</v>
      </c>
      <c r="H86" s="6">
        <v>368029</v>
      </c>
      <c r="I86" s="6">
        <v>384901</v>
      </c>
      <c r="J86" s="6">
        <v>0</v>
      </c>
      <c r="K86" s="6">
        <v>0</v>
      </c>
      <c r="L86" s="6">
        <v>0</v>
      </c>
    </row>
    <row r="87" spans="2:12" x14ac:dyDescent="0.2">
      <c r="B87" s="2">
        <v>2020</v>
      </c>
      <c r="C87" s="6">
        <v>57152</v>
      </c>
      <c r="D87" s="6">
        <v>130507</v>
      </c>
      <c r="E87" s="6">
        <v>173322</v>
      </c>
      <c r="F87" s="6">
        <v>205264</v>
      </c>
      <c r="G87" s="6">
        <v>227191</v>
      </c>
      <c r="H87" s="6">
        <v>243429</v>
      </c>
      <c r="I87" s="6">
        <v>0</v>
      </c>
      <c r="J87" s="6">
        <v>0</v>
      </c>
      <c r="K87" s="6">
        <v>0</v>
      </c>
      <c r="L87" s="6">
        <v>0</v>
      </c>
    </row>
    <row r="88" spans="2:12" x14ac:dyDescent="0.2">
      <c r="B88" s="2">
        <v>2021</v>
      </c>
      <c r="C88" s="6">
        <v>62466</v>
      </c>
      <c r="D88" s="6">
        <v>148585</v>
      </c>
      <c r="E88" s="6">
        <v>193762</v>
      </c>
      <c r="F88" s="6">
        <v>230638</v>
      </c>
      <c r="G88" s="6">
        <v>262659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</row>
    <row r="89" spans="2:12" x14ac:dyDescent="0.2">
      <c r="B89" s="2">
        <v>2022</v>
      </c>
      <c r="C89" s="6">
        <v>67093</v>
      </c>
      <c r="D89" s="6">
        <v>153981</v>
      </c>
      <c r="E89" s="6">
        <v>199995</v>
      </c>
      <c r="F89" s="6">
        <v>232191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spans="2:12" x14ac:dyDescent="0.2">
      <c r="B90" s="2">
        <v>2023</v>
      </c>
      <c r="C90" s="6">
        <v>66170</v>
      </c>
      <c r="D90" s="6">
        <v>162500</v>
      </c>
      <c r="E90" s="6">
        <v>215278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spans="2:12" x14ac:dyDescent="0.2">
      <c r="B91" s="2">
        <v>2024</v>
      </c>
      <c r="C91" s="6">
        <v>73657</v>
      </c>
      <c r="D91" s="6">
        <v>182178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spans="2:12" x14ac:dyDescent="0.2">
      <c r="B92" s="2">
        <v>2025</v>
      </c>
      <c r="C92" s="6">
        <v>68647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8" spans="2:12" x14ac:dyDescent="0.2">
      <c r="B98" s="5" t="s">
        <v>6</v>
      </c>
    </row>
    <row r="100" spans="2:12" x14ac:dyDescent="0.2">
      <c r="B100" s="1" t="s">
        <v>0</v>
      </c>
      <c r="C100" s="3">
        <v>0</v>
      </c>
      <c r="D100" s="3">
        <v>1</v>
      </c>
      <c r="E100" s="3">
        <v>2</v>
      </c>
      <c r="F100" s="3">
        <v>3</v>
      </c>
      <c r="G100" s="3">
        <v>4</v>
      </c>
      <c r="H100" s="3">
        <v>5</v>
      </c>
      <c r="I100" s="3">
        <v>6</v>
      </c>
      <c r="J100" s="3">
        <v>7</v>
      </c>
      <c r="K100" s="3">
        <v>8</v>
      </c>
      <c r="L100" s="3">
        <v>9</v>
      </c>
    </row>
    <row r="101" spans="2:12" x14ac:dyDescent="0.2">
      <c r="B101" s="2">
        <v>2016</v>
      </c>
      <c r="C101" s="6">
        <v>84893</v>
      </c>
      <c r="D101" s="6">
        <v>147826</v>
      </c>
      <c r="E101" s="6">
        <v>179304</v>
      </c>
      <c r="F101" s="6">
        <v>212466</v>
      </c>
      <c r="G101" s="6">
        <v>228641</v>
      </c>
      <c r="H101" s="6">
        <v>238684</v>
      </c>
      <c r="I101" s="6">
        <v>243929</v>
      </c>
      <c r="J101" s="6">
        <v>247960</v>
      </c>
      <c r="K101" s="6">
        <v>250694</v>
      </c>
      <c r="L101" s="6">
        <v>253197</v>
      </c>
    </row>
    <row r="102" spans="2:12" x14ac:dyDescent="0.2">
      <c r="B102" s="2">
        <v>2017</v>
      </c>
      <c r="C102" s="6">
        <v>100180</v>
      </c>
      <c r="D102" s="6">
        <v>172383</v>
      </c>
      <c r="E102" s="6">
        <v>203840</v>
      </c>
      <c r="F102" s="6">
        <v>221984</v>
      </c>
      <c r="G102" s="6">
        <v>238752</v>
      </c>
      <c r="H102" s="6">
        <v>252949</v>
      </c>
      <c r="I102" s="6">
        <v>260030</v>
      </c>
      <c r="J102" s="6">
        <v>262866</v>
      </c>
      <c r="K102" s="6">
        <v>266034</v>
      </c>
      <c r="L102" s="6">
        <v>0</v>
      </c>
    </row>
    <row r="103" spans="2:12" x14ac:dyDescent="0.2">
      <c r="B103" s="2">
        <v>2018</v>
      </c>
      <c r="C103" s="6">
        <v>88697</v>
      </c>
      <c r="D103" s="6">
        <v>151280</v>
      </c>
      <c r="E103" s="6">
        <v>170520</v>
      </c>
      <c r="F103" s="6">
        <v>186319</v>
      </c>
      <c r="G103" s="6">
        <v>200358</v>
      </c>
      <c r="H103" s="6">
        <v>212299</v>
      </c>
      <c r="I103" s="6">
        <v>218625</v>
      </c>
      <c r="J103" s="6">
        <v>221857</v>
      </c>
      <c r="K103" s="6">
        <v>0</v>
      </c>
      <c r="L103" s="6">
        <v>0</v>
      </c>
    </row>
    <row r="104" spans="2:12" x14ac:dyDescent="0.2">
      <c r="B104" s="2">
        <v>2019</v>
      </c>
      <c r="C104" s="6">
        <v>63839</v>
      </c>
      <c r="D104" s="6">
        <v>112931</v>
      </c>
      <c r="E104" s="6">
        <v>131249</v>
      </c>
      <c r="F104" s="6">
        <v>147370</v>
      </c>
      <c r="G104" s="6">
        <v>159644</v>
      </c>
      <c r="H104" s="6">
        <v>166853</v>
      </c>
      <c r="I104" s="6">
        <v>170536</v>
      </c>
      <c r="J104" s="6">
        <v>0</v>
      </c>
      <c r="K104" s="6">
        <v>0</v>
      </c>
      <c r="L104" s="6">
        <v>0</v>
      </c>
    </row>
    <row r="105" spans="2:12" x14ac:dyDescent="0.2">
      <c r="B105" s="2">
        <v>2020</v>
      </c>
      <c r="C105" s="6">
        <v>73227</v>
      </c>
      <c r="D105" s="6">
        <v>139422</v>
      </c>
      <c r="E105" s="6">
        <v>153469</v>
      </c>
      <c r="F105" s="6">
        <v>159735</v>
      </c>
      <c r="G105" s="6">
        <v>167630</v>
      </c>
      <c r="H105" s="6">
        <v>169858</v>
      </c>
      <c r="I105" s="6">
        <v>0</v>
      </c>
      <c r="J105" s="6">
        <v>0</v>
      </c>
      <c r="K105" s="6">
        <v>0</v>
      </c>
      <c r="L105" s="6">
        <v>0</v>
      </c>
    </row>
    <row r="106" spans="2:12" x14ac:dyDescent="0.2">
      <c r="B106" s="2">
        <v>2021</v>
      </c>
      <c r="C106" s="6">
        <v>76621</v>
      </c>
      <c r="D106" s="6">
        <v>144421</v>
      </c>
      <c r="E106" s="6">
        <v>164524</v>
      </c>
      <c r="F106" s="6">
        <v>183248</v>
      </c>
      <c r="G106" s="6">
        <v>192914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</row>
    <row r="107" spans="2:12" x14ac:dyDescent="0.2">
      <c r="B107" s="2">
        <v>2022</v>
      </c>
      <c r="C107" s="6">
        <v>42327</v>
      </c>
      <c r="D107" s="6">
        <v>108773</v>
      </c>
      <c r="E107" s="6">
        <v>133368</v>
      </c>
      <c r="F107" s="6">
        <v>150567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spans="2:12" x14ac:dyDescent="0.2">
      <c r="B108" s="2">
        <v>2023</v>
      </c>
      <c r="C108" s="6">
        <v>43161</v>
      </c>
      <c r="D108" s="6">
        <v>85880</v>
      </c>
      <c r="E108" s="6">
        <v>105726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spans="2:12" x14ac:dyDescent="0.2">
      <c r="B109" s="2">
        <v>2024</v>
      </c>
      <c r="C109" s="6">
        <v>54484</v>
      </c>
      <c r="D109" s="6">
        <v>100165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spans="2:12" x14ac:dyDescent="0.2">
      <c r="B110" s="2">
        <v>2025</v>
      </c>
      <c r="C110" s="6">
        <v>55019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8191-2D89-864B-9746-90E5E432ACF6}">
  <dimension ref="C8:F110"/>
  <sheetViews>
    <sheetView workbookViewId="0">
      <selection activeCell="D37" sqref="D37"/>
    </sheetView>
  </sheetViews>
  <sheetFormatPr baseColWidth="10" defaultRowHeight="16" x14ac:dyDescent="0.2"/>
  <cols>
    <col min="3" max="3" width="36.1640625" bestFit="1" customWidth="1"/>
    <col min="5" max="5" width="35" bestFit="1" customWidth="1"/>
  </cols>
  <sheetData>
    <row r="8" spans="3:6" x14ac:dyDescent="0.2">
      <c r="C8" s="9" t="s">
        <v>8</v>
      </c>
      <c r="E8" s="9" t="s">
        <v>19</v>
      </c>
    </row>
    <row r="9" spans="3:6" x14ac:dyDescent="0.2">
      <c r="C9" s="9" t="s">
        <v>9</v>
      </c>
      <c r="D9">
        <f>SUM('loss development'!D9:D17)/SUM('loss development'!C9:C17)</f>
        <v>1.6803892372563851</v>
      </c>
      <c r="E9" s="10" t="s">
        <v>20</v>
      </c>
      <c r="F9">
        <f>PRODUCT(D9:D17)</f>
        <v>2.9335030955151966</v>
      </c>
    </row>
    <row r="10" spans="3:6" x14ac:dyDescent="0.2">
      <c r="C10" s="9" t="s">
        <v>10</v>
      </c>
      <c r="D10">
        <f>SUM('loss development'!E9:E16)/SUM('loss development'!D9:D16)</f>
        <v>1.1802287590272003</v>
      </c>
      <c r="E10" t="s">
        <v>21</v>
      </c>
      <c r="F10">
        <f>PRODUCT(D10:D17)</f>
        <v>1.7457283291725922</v>
      </c>
    </row>
    <row r="11" spans="3:6" x14ac:dyDescent="0.2">
      <c r="C11" s="9" t="s">
        <v>11</v>
      </c>
      <c r="D11">
        <f>SUM('loss development'!F9:F15)/SUM('loss development'!E9:E15)</f>
        <v>1.1269530941192258</v>
      </c>
      <c r="E11" t="s">
        <v>22</v>
      </c>
      <c r="F11">
        <f>PRODUCT(D11:D17)</f>
        <v>1.4791440352728769</v>
      </c>
    </row>
    <row r="12" spans="3:6" x14ac:dyDescent="0.2">
      <c r="C12" s="9" t="s">
        <v>12</v>
      </c>
      <c r="D12">
        <f>SUM('loss development'!G9:G14)/SUM('loss development'!F9:F14)</f>
        <v>1.0903091937358211</v>
      </c>
      <c r="E12" t="s">
        <v>23</v>
      </c>
      <c r="F12">
        <f>PRODUCT(D12:D17)</f>
        <v>1.3125160603324906</v>
      </c>
    </row>
    <row r="13" spans="3:6" x14ac:dyDescent="0.2">
      <c r="C13" s="9" t="s">
        <v>13</v>
      </c>
      <c r="D13">
        <f>SUM('loss development'!H9:H13)/SUM('loss development'!G9:G13)</f>
        <v>1.0614867941935866</v>
      </c>
      <c r="E13" t="s">
        <v>24</v>
      </c>
      <c r="F13">
        <f>PRODUCT(D13:D17)</f>
        <v>1.2038016994383975</v>
      </c>
    </row>
    <row r="14" spans="3:6" x14ac:dyDescent="0.2">
      <c r="C14" s="9" t="s">
        <v>14</v>
      </c>
      <c r="D14">
        <f>SUM('loss development'!I9:I12)/SUM('loss development'!H9:H12)</f>
        <v>1.050602870135364</v>
      </c>
      <c r="E14" t="s">
        <v>25</v>
      </c>
      <c r="F14">
        <f>PRODUCT(D14:D17)</f>
        <v>1.1340712913465192</v>
      </c>
    </row>
    <row r="15" spans="3:6" x14ac:dyDescent="0.2">
      <c r="C15" s="9" t="s">
        <v>15</v>
      </c>
      <c r="D15">
        <f>SUM('loss development'!J9:J11)/SUM('loss development'!I9:I11)</f>
        <v>1.0321007796759951</v>
      </c>
      <c r="E15" t="s">
        <v>26</v>
      </c>
      <c r="F15">
        <f>PRODUCT(D15:D17)</f>
        <v>1.0794481183935856</v>
      </c>
    </row>
    <row r="16" spans="3:6" x14ac:dyDescent="0.2">
      <c r="C16" s="9" t="s">
        <v>16</v>
      </c>
      <c r="D16">
        <f>SUM('loss development'!K9:K10)/SUM('loss development'!J9:J10)</f>
        <v>1.0284957195699733</v>
      </c>
      <c r="E16" t="s">
        <v>27</v>
      </c>
      <c r="F16">
        <f>PRODUCT(D16:D17)</f>
        <v>1.0458747243001347</v>
      </c>
    </row>
    <row r="17" spans="3:6" x14ac:dyDescent="0.2">
      <c r="C17" s="9" t="s">
        <v>17</v>
      </c>
      <c r="D17">
        <f>SUM('loss development'!L9)/SUM('loss development'!K9)</f>
        <v>1.0168974983555865</v>
      </c>
      <c r="E17" t="s">
        <v>28</v>
      </c>
      <c r="F17">
        <f>PRODUCT(D17)</f>
        <v>1.0168974983555865</v>
      </c>
    </row>
    <row r="18" spans="3:6" x14ac:dyDescent="0.2">
      <c r="C18" s="9" t="s">
        <v>18</v>
      </c>
      <c r="D18">
        <v>1</v>
      </c>
      <c r="E18" t="s">
        <v>29</v>
      </c>
      <c r="F18">
        <v>1</v>
      </c>
    </row>
    <row r="28" spans="3:6" x14ac:dyDescent="0.2">
      <c r="C28" s="9" t="s">
        <v>8</v>
      </c>
      <c r="E28" s="9" t="s">
        <v>19</v>
      </c>
    </row>
    <row r="29" spans="3:6" x14ac:dyDescent="0.2">
      <c r="C29" s="9" t="s">
        <v>9</v>
      </c>
      <c r="D29">
        <f>SUM('loss development'!D29:D37)/SUM('loss development'!C29:C37)</f>
        <v>1.64645312389586</v>
      </c>
      <c r="E29" s="10" t="s">
        <v>20</v>
      </c>
      <c r="F29">
        <f>PRODUCT(D29:D37)</f>
        <v>1.7991901588201302</v>
      </c>
    </row>
    <row r="30" spans="3:6" x14ac:dyDescent="0.2">
      <c r="C30" s="9" t="s">
        <v>10</v>
      </c>
      <c r="D30">
        <f>SUM('loss development'!E29:E36)/SUM('loss development'!D29:D36)</f>
        <v>1.0569596595646797</v>
      </c>
      <c r="E30" t="s">
        <v>21</v>
      </c>
      <c r="F30">
        <f>PRODUCT(D30:D37)</f>
        <v>1.0927673146034445</v>
      </c>
    </row>
    <row r="31" spans="3:6" x14ac:dyDescent="0.2">
      <c r="C31" s="9" t="s">
        <v>11</v>
      </c>
      <c r="D31">
        <f>SUM('loss development'!F29:F35)/SUM('loss development'!E29:E35)</f>
        <v>1.0129147407441308</v>
      </c>
      <c r="E31" t="s">
        <v>22</v>
      </c>
      <c r="F31">
        <f>PRODUCT(D31:D37)</f>
        <v>1.0338779770019906</v>
      </c>
    </row>
    <row r="32" spans="3:6" x14ac:dyDescent="0.2">
      <c r="C32" s="9" t="s">
        <v>12</v>
      </c>
      <c r="D32">
        <f>SUM('loss development'!G29:G34)/SUM('loss development'!F29:F34)</f>
        <v>1.0091604114539894</v>
      </c>
      <c r="E32" t="s">
        <v>23</v>
      </c>
      <c r="F32">
        <f>PRODUCT(D32:D37)</f>
        <v>1.0206959533854345</v>
      </c>
    </row>
    <row r="33" spans="3:6" x14ac:dyDescent="0.2">
      <c r="C33" s="9" t="s">
        <v>13</v>
      </c>
      <c r="D33">
        <f>SUM('loss development'!H29:H33)/SUM('loss development'!G29:G33)</f>
        <v>1.0078444494014425</v>
      </c>
      <c r="E33" t="s">
        <v>24</v>
      </c>
      <c r="F33">
        <f>PRODUCT(D33:D37)</f>
        <v>1.0114308308178925</v>
      </c>
    </row>
    <row r="34" spans="3:6" x14ac:dyDescent="0.2">
      <c r="C34" s="9" t="s">
        <v>14</v>
      </c>
      <c r="D34">
        <f>SUM('loss development'!I29:I32)/SUM('loss development'!H29:H32)</f>
        <v>1.0024897060231734</v>
      </c>
      <c r="E34" t="s">
        <v>25</v>
      </c>
      <c r="F34">
        <f>PRODUCT(D34:D37)</f>
        <v>1.0035584672005484</v>
      </c>
    </row>
    <row r="35" spans="3:6" x14ac:dyDescent="0.2">
      <c r="C35" s="9" t="s">
        <v>15</v>
      </c>
      <c r="D35">
        <f>SUM('loss development'!J29:J31)/SUM('loss development'!I29:I31)</f>
        <v>1.0007020828457758</v>
      </c>
      <c r="E35" t="s">
        <v>26</v>
      </c>
      <c r="F35">
        <f>PRODUCT(D35:D37)</f>
        <v>1.0010661068846429</v>
      </c>
    </row>
    <row r="36" spans="3:6" x14ac:dyDescent="0.2">
      <c r="C36" s="9" t="s">
        <v>16</v>
      </c>
      <c r="D36">
        <f>SUM('loss development'!K29:K30)/SUM('loss development'!J29:J30)</f>
        <v>1.000363768643143</v>
      </c>
      <c r="E36" t="s">
        <v>27</v>
      </c>
      <c r="F36">
        <f>PRODUCT(D36:D37)</f>
        <v>1.000363768643143</v>
      </c>
    </row>
    <row r="37" spans="3:6" x14ac:dyDescent="0.2">
      <c r="C37" s="9" t="s">
        <v>17</v>
      </c>
      <c r="D37">
        <f>SUM('loss development'!L29)/SUM('loss development'!K29)</f>
        <v>1</v>
      </c>
      <c r="E37" t="s">
        <v>28</v>
      </c>
      <c r="F37">
        <f>PRODUCT(D37)</f>
        <v>1</v>
      </c>
    </row>
    <row r="38" spans="3:6" x14ac:dyDescent="0.2">
      <c r="C38" s="9" t="s">
        <v>18</v>
      </c>
      <c r="D38">
        <v>1</v>
      </c>
      <c r="E38" t="s">
        <v>29</v>
      </c>
      <c r="F38">
        <v>1</v>
      </c>
    </row>
    <row r="46" spans="3:6" x14ac:dyDescent="0.2">
      <c r="C46" s="9" t="s">
        <v>8</v>
      </c>
      <c r="E46" s="9" t="s">
        <v>19</v>
      </c>
    </row>
    <row r="47" spans="3:6" x14ac:dyDescent="0.2">
      <c r="C47" s="9" t="s">
        <v>9</v>
      </c>
      <c r="E47" s="10"/>
    </row>
    <row r="48" spans="3:6" x14ac:dyDescent="0.2">
      <c r="C48" s="9" t="s">
        <v>10</v>
      </c>
      <c r="E48" s="7" t="s">
        <v>7</v>
      </c>
    </row>
    <row r="49" spans="3:5" x14ac:dyDescent="0.2">
      <c r="C49" s="9" t="s">
        <v>11</v>
      </c>
    </row>
    <row r="50" spans="3:5" x14ac:dyDescent="0.2">
      <c r="C50" s="9" t="s">
        <v>12</v>
      </c>
    </row>
    <row r="51" spans="3:5" x14ac:dyDescent="0.2">
      <c r="C51" s="9" t="s">
        <v>13</v>
      </c>
    </row>
    <row r="52" spans="3:5" x14ac:dyDescent="0.2">
      <c r="C52" s="9" t="s">
        <v>14</v>
      </c>
    </row>
    <row r="53" spans="3:5" x14ac:dyDescent="0.2">
      <c r="C53" s="9" t="s">
        <v>15</v>
      </c>
    </row>
    <row r="54" spans="3:5" x14ac:dyDescent="0.2">
      <c r="C54" s="9" t="s">
        <v>16</v>
      </c>
    </row>
    <row r="55" spans="3:5" x14ac:dyDescent="0.2">
      <c r="C55" s="9" t="s">
        <v>17</v>
      </c>
    </row>
    <row r="56" spans="3:5" x14ac:dyDescent="0.2">
      <c r="C56" s="9" t="s">
        <v>18</v>
      </c>
    </row>
    <row r="64" spans="3:5" x14ac:dyDescent="0.2">
      <c r="C64" s="9" t="s">
        <v>8</v>
      </c>
      <c r="E64" s="9" t="s">
        <v>19</v>
      </c>
    </row>
    <row r="65" spans="3:6" x14ac:dyDescent="0.2">
      <c r="C65" s="9" t="s">
        <v>9</v>
      </c>
      <c r="D65">
        <f>SUM('loss development'!D65:D73)/SUM('loss development'!C65:C73)</f>
        <v>3.2526497079913641</v>
      </c>
      <c r="E65" s="10" t="s">
        <v>20</v>
      </c>
      <c r="F65">
        <f>PRODUCT(D65:D73)</f>
        <v>12.533636773668169</v>
      </c>
    </row>
    <row r="66" spans="3:6" x14ac:dyDescent="0.2">
      <c r="C66" s="9" t="s">
        <v>10</v>
      </c>
      <c r="D66">
        <f>SUM('loss development'!E65:E72)/SUM('loss development'!D65:D72)</f>
        <v>1.8200007565683225</v>
      </c>
      <c r="E66" t="s">
        <v>21</v>
      </c>
      <c r="F66">
        <f>PRODUCT(D66:D73)</f>
        <v>3.8533619967974264</v>
      </c>
    </row>
    <row r="67" spans="3:6" x14ac:dyDescent="0.2">
      <c r="C67" s="9" t="s">
        <v>11</v>
      </c>
      <c r="D67">
        <f>SUM('loss development'!F65:F71)/SUM('loss development'!E65:E71)</f>
        <v>1.4261496348948917</v>
      </c>
      <c r="E67" t="s">
        <v>22</v>
      </c>
      <c r="F67">
        <f>PRODUCT(D67:D73)</f>
        <v>2.1172309862458962</v>
      </c>
    </row>
    <row r="68" spans="3:6" x14ac:dyDescent="0.2">
      <c r="C68" s="9" t="s">
        <v>12</v>
      </c>
      <c r="D68">
        <f>SUM('loss development'!G65:G70)/SUM('loss development'!F65:F70)</f>
        <v>1.2166059264262363</v>
      </c>
      <c r="E68" t="s">
        <v>23</v>
      </c>
      <c r="F68">
        <f>PRODUCT(D68:D73)</f>
        <v>1.4845784302303859</v>
      </c>
    </row>
    <row r="69" spans="3:6" x14ac:dyDescent="0.2">
      <c r="C69" s="9" t="s">
        <v>13</v>
      </c>
      <c r="D69">
        <f>SUM('loss development'!H65:H69)/SUM('loss development'!G65:G69)</f>
        <v>1.0935075708309223</v>
      </c>
      <c r="E69" t="s">
        <v>24</v>
      </c>
      <c r="F69">
        <f>PRODUCT(D69:D73)</f>
        <v>1.2202623692548622</v>
      </c>
    </row>
    <row r="70" spans="3:6" x14ac:dyDescent="0.2">
      <c r="C70" s="9" t="s">
        <v>14</v>
      </c>
      <c r="D70">
        <f>SUM('loss development'!I65:I68)/SUM('loss development'!H65:H68)</f>
        <v>1.0568416054733607</v>
      </c>
      <c r="E70" t="s">
        <v>25</v>
      </c>
      <c r="F70">
        <f>PRODUCT(D70:D73)</f>
        <v>1.115915794096993</v>
      </c>
    </row>
    <row r="71" spans="3:6" x14ac:dyDescent="0.2">
      <c r="C71" s="9" t="s">
        <v>15</v>
      </c>
      <c r="D71">
        <f>SUM('loss development'!J65:J67)/SUM('loss development'!I65:I67)</f>
        <v>1.0233294609279044</v>
      </c>
      <c r="E71" t="s">
        <v>26</v>
      </c>
      <c r="F71">
        <f>PRODUCT(D71:D73)</f>
        <v>1.0558969180600839</v>
      </c>
    </row>
    <row r="72" spans="3:6" x14ac:dyDescent="0.2">
      <c r="C72" s="9" t="s">
        <v>16</v>
      </c>
      <c r="D72">
        <f>SUM('loss development'!K65:K66)/SUM('loss development'!J65:J66)</f>
        <v>1.0116412124810366</v>
      </c>
      <c r="E72" t="s">
        <v>27</v>
      </c>
      <c r="F72">
        <f>PRODUCT(D72:D73)</f>
        <v>1.0318249971056721</v>
      </c>
    </row>
    <row r="73" spans="3:6" x14ac:dyDescent="0.2">
      <c r="C73" s="9" t="s">
        <v>17</v>
      </c>
      <c r="D73">
        <f>SUM('loss development'!L65)/SUM('loss development'!K65)</f>
        <v>1.0199515246864401</v>
      </c>
      <c r="E73" t="s">
        <v>28</v>
      </c>
      <c r="F73">
        <f>PRODUCT(D73)</f>
        <v>1.0199515246864401</v>
      </c>
    </row>
    <row r="74" spans="3:6" x14ac:dyDescent="0.2">
      <c r="C74" s="9" t="s">
        <v>18</v>
      </c>
      <c r="D74">
        <v>1</v>
      </c>
      <c r="E74" t="s">
        <v>29</v>
      </c>
      <c r="F74">
        <v>1</v>
      </c>
    </row>
    <row r="82" spans="3:6" x14ac:dyDescent="0.2">
      <c r="C82" s="9" t="s">
        <v>8</v>
      </c>
      <c r="E82" s="9" t="s">
        <v>19</v>
      </c>
    </row>
    <row r="83" spans="3:6" x14ac:dyDescent="0.2">
      <c r="C83" s="9" t="s">
        <v>9</v>
      </c>
      <c r="D83">
        <f>SUM('loss development'!D83:D91)/SUM('loss development'!C83:C91)</f>
        <v>2.3528915914798625</v>
      </c>
      <c r="E83" s="10" t="s">
        <v>20</v>
      </c>
      <c r="F83">
        <f>PRODUCT(D83:D91)</f>
        <v>4.8610782895926263</v>
      </c>
    </row>
    <row r="84" spans="3:6" x14ac:dyDescent="0.2">
      <c r="C84" s="9" t="s">
        <v>10</v>
      </c>
      <c r="D84">
        <f>SUM('loss development'!E83:E90)/SUM('loss development'!D83:D90)</f>
        <v>1.3237174980964139</v>
      </c>
      <c r="E84" t="s">
        <v>21</v>
      </c>
      <c r="F84">
        <f>PRODUCT(D84:D91)</f>
        <v>2.0660018112161418</v>
      </c>
    </row>
    <row r="85" spans="3:6" x14ac:dyDescent="0.2">
      <c r="C85" s="9" t="s">
        <v>11</v>
      </c>
      <c r="D85">
        <f>SUM('loss development'!F83:F89)/SUM('loss development'!E83:E89)</f>
        <v>1.1736498933646549</v>
      </c>
      <c r="E85" t="s">
        <v>22</v>
      </c>
      <c r="F85">
        <f>PRODUCT(D85:D91)</f>
        <v>1.5607573475361456</v>
      </c>
    </row>
    <row r="86" spans="3:6" x14ac:dyDescent="0.2">
      <c r="C86" s="9" t="s">
        <v>12</v>
      </c>
      <c r="D86">
        <f>SUM('loss development'!G83:G88)/SUM('loss development'!F83:F88)</f>
        <v>1.099131561506667</v>
      </c>
      <c r="E86" t="s">
        <v>23</v>
      </c>
      <c r="F86">
        <f>PRODUCT(D86:D91)</f>
        <v>1.3298321384938054</v>
      </c>
    </row>
    <row r="87" spans="3:6" x14ac:dyDescent="0.2">
      <c r="C87" s="9" t="s">
        <v>13</v>
      </c>
      <c r="D87">
        <f>SUM('loss development'!H83:H87)/SUM('loss development'!G83:G87)</f>
        <v>1.0689421380423145</v>
      </c>
      <c r="E87" t="s">
        <v>24</v>
      </c>
      <c r="F87">
        <f>PRODUCT(D87:D91)</f>
        <v>1.2098935059883995</v>
      </c>
    </row>
    <row r="88" spans="3:6" x14ac:dyDescent="0.2">
      <c r="C88" s="9" t="s">
        <v>14</v>
      </c>
      <c r="D88">
        <f>SUM('loss development'!I83:I86)/SUM('loss development'!H83:H86)</f>
        <v>1.0453303154988911</v>
      </c>
      <c r="E88" t="s">
        <v>25</v>
      </c>
      <c r="F88">
        <f>PRODUCT(D88:D91)</f>
        <v>1.1318606152099369</v>
      </c>
    </row>
    <row r="89" spans="3:6" x14ac:dyDescent="0.2">
      <c r="C89" s="9" t="s">
        <v>15</v>
      </c>
      <c r="D89">
        <f>SUM('loss development'!J83:J85)/SUM('loss development'!I83:I85)</f>
        <v>1.0317900229579955</v>
      </c>
      <c r="E89" t="s">
        <v>26</v>
      </c>
      <c r="F89">
        <f>PRODUCT(D89:D91)</f>
        <v>1.0827779491593035</v>
      </c>
    </row>
    <row r="90" spans="3:6" x14ac:dyDescent="0.2">
      <c r="C90" s="9" t="s">
        <v>16</v>
      </c>
      <c r="D90">
        <f>SUM('loss development'!K83:K84)/SUM('loss development'!J83:J84)</f>
        <v>1.0281769140470258</v>
      </c>
      <c r="E90" t="s">
        <v>27</v>
      </c>
      <c r="F90">
        <f>PRODUCT(D90:D91)</f>
        <v>1.049416959911216</v>
      </c>
    </row>
    <row r="91" spans="3:6" x14ac:dyDescent="0.2">
      <c r="C91" s="9" t="s">
        <v>17</v>
      </c>
      <c r="D91">
        <f>SUM('loss development'!L83)/SUM('loss development'!K83)</f>
        <v>1.0206579680733998</v>
      </c>
      <c r="E91" t="s">
        <v>28</v>
      </c>
      <c r="F91">
        <f>PRODUCT(D91)</f>
        <v>1.0206579680733998</v>
      </c>
    </row>
    <row r="92" spans="3:6" x14ac:dyDescent="0.2">
      <c r="C92" s="9" t="s">
        <v>18</v>
      </c>
      <c r="D92">
        <v>1</v>
      </c>
      <c r="E92" t="s">
        <v>29</v>
      </c>
      <c r="F92">
        <v>1</v>
      </c>
    </row>
    <row r="100" spans="3:6" x14ac:dyDescent="0.2">
      <c r="C100" s="9" t="s">
        <v>8</v>
      </c>
      <c r="E100" s="9" t="s">
        <v>19</v>
      </c>
    </row>
    <row r="101" spans="3:6" x14ac:dyDescent="0.2">
      <c r="C101" s="9" t="s">
        <v>9</v>
      </c>
      <c r="D101">
        <f>SUM('loss development'!D101:D109)/SUM('loss development'!C101:C109)</f>
        <v>1.8537252820637873</v>
      </c>
      <c r="E101" s="10" t="s">
        <v>20</v>
      </c>
      <c r="F101">
        <f>PRODUCT(D101:D109)</f>
        <v>2.8573780693862942</v>
      </c>
    </row>
    <row r="102" spans="3:6" x14ac:dyDescent="0.2">
      <c r="C102" s="9" t="s">
        <v>10</v>
      </c>
      <c r="D102">
        <f>SUM('loss development'!E101:E108)/SUM('loss development'!D101:D108)</f>
        <v>1.1684836807424106</v>
      </c>
      <c r="E102" t="s">
        <v>21</v>
      </c>
      <c r="F102">
        <f>PRODUCT(D102:D109)</f>
        <v>1.5414247715309368</v>
      </c>
    </row>
    <row r="103" spans="3:6" x14ac:dyDescent="0.2">
      <c r="C103" s="9" t="s">
        <v>11</v>
      </c>
      <c r="D103">
        <f>SUM('loss development'!F101:F107)/SUM('loss development'!E101:E107)</f>
        <v>1.1103739062937283</v>
      </c>
      <c r="E103" t="s">
        <v>22</v>
      </c>
      <c r="F103">
        <f>PRODUCT(D103:D109)</f>
        <v>1.3191667089022356</v>
      </c>
    </row>
    <row r="104" spans="3:6" x14ac:dyDescent="0.2">
      <c r="C104" s="9" t="s">
        <v>12</v>
      </c>
      <c r="D104">
        <f>SUM('loss development'!G101:G106)/SUM('loss development'!F101:F106)</f>
        <v>1.0691346224806997</v>
      </c>
      <c r="E104" t="s">
        <v>23</v>
      </c>
      <c r="F104">
        <f>PRODUCT(D104:D109)</f>
        <v>1.1880382828027978</v>
      </c>
    </row>
    <row r="105" spans="3:6" x14ac:dyDescent="0.2">
      <c r="C105" s="9" t="s">
        <v>13</v>
      </c>
      <c r="D105">
        <f>SUM('loss development'!H101:H105)/SUM('loss development'!G101:G105)</f>
        <v>1.0458460842692394</v>
      </c>
      <c r="E105" t="s">
        <v>24</v>
      </c>
      <c r="F105">
        <f>PRODUCT(D105:D109)</f>
        <v>1.1112148627702352</v>
      </c>
    </row>
    <row r="106" spans="3:6" x14ac:dyDescent="0.2">
      <c r="C106" s="9" t="s">
        <v>14</v>
      </c>
      <c r="D106">
        <f>SUM('loss development'!I101:I104)/SUM('loss development'!H101:H104)</f>
        <v>1.025649270485826</v>
      </c>
      <c r="E106" t="s">
        <v>25</v>
      </c>
      <c r="F106">
        <f>PRODUCT(D106:D109)</f>
        <v>1.0625032492679558</v>
      </c>
    </row>
    <row r="107" spans="3:6" x14ac:dyDescent="0.2">
      <c r="C107" s="9" t="s">
        <v>15</v>
      </c>
      <c r="D107">
        <f>SUM('loss development'!J101:J103)/SUM('loss development'!I101:I103)</f>
        <v>1.0139762297532191</v>
      </c>
      <c r="E107" t="s">
        <v>26</v>
      </c>
      <c r="F107">
        <f>PRODUCT(D107:D109)</f>
        <v>1.0359323404624206</v>
      </c>
    </row>
    <row r="108" spans="3:6" x14ac:dyDescent="0.2">
      <c r="C108" s="9" t="s">
        <v>16</v>
      </c>
      <c r="D108">
        <f>SUM('loss development'!K101:K102)/SUM('loss development'!J101:J102)</f>
        <v>1.0115538363356602</v>
      </c>
      <c r="E108" t="s">
        <v>27</v>
      </c>
      <c r="F108">
        <f>PRODUCT(D108:D109)</f>
        <v>1.0216534767432812</v>
      </c>
    </row>
    <row r="109" spans="3:6" x14ac:dyDescent="0.2">
      <c r="C109" s="9" t="s">
        <v>17</v>
      </c>
      <c r="D109">
        <f>SUM('loss development'!L101)/SUM('loss development'!K101)</f>
        <v>1.0099842836286468</v>
      </c>
      <c r="E109" t="s">
        <v>28</v>
      </c>
      <c r="F109">
        <f>PRODUCT(D109)</f>
        <v>1.0099842836286468</v>
      </c>
    </row>
    <row r="110" spans="3:6" x14ac:dyDescent="0.2">
      <c r="C110" s="9" t="s">
        <v>18</v>
      </c>
      <c r="D110">
        <v>1</v>
      </c>
      <c r="E110" t="s">
        <v>29</v>
      </c>
      <c r="F1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7D4B-E8E9-374D-B71E-986145067465}">
  <dimension ref="C8:J111"/>
  <sheetViews>
    <sheetView workbookViewId="0">
      <selection activeCell="J111" sqref="J111"/>
    </sheetView>
  </sheetViews>
  <sheetFormatPr baseColWidth="10" defaultRowHeight="16" x14ac:dyDescent="0.2"/>
  <cols>
    <col min="3" max="3" width="12.5" bestFit="1" customWidth="1"/>
    <col min="4" max="4" width="24.6640625" bestFit="1" customWidth="1"/>
    <col min="5" max="5" width="20.5" bestFit="1" customWidth="1"/>
    <col min="6" max="6" width="29.83203125" bestFit="1" customWidth="1"/>
    <col min="7" max="7" width="32.33203125" bestFit="1" customWidth="1"/>
    <col min="8" max="8" width="32.5" bestFit="1" customWidth="1"/>
    <col min="9" max="9" width="15.83203125" bestFit="1" customWidth="1"/>
    <col min="10" max="10" width="17.83203125" bestFit="1" customWidth="1"/>
  </cols>
  <sheetData>
    <row r="8" spans="3:10" x14ac:dyDescent="0.2">
      <c r="C8" s="9" t="s">
        <v>30</v>
      </c>
      <c r="D8" s="9" t="s">
        <v>31</v>
      </c>
      <c r="E8" s="9" t="s">
        <v>32</v>
      </c>
      <c r="F8" s="9" t="s">
        <v>33</v>
      </c>
      <c r="G8" s="9" t="s">
        <v>34</v>
      </c>
      <c r="H8" s="9" t="s">
        <v>35</v>
      </c>
      <c r="I8" s="9" t="s">
        <v>36</v>
      </c>
      <c r="J8" s="9" t="s">
        <v>37</v>
      </c>
    </row>
    <row r="9" spans="3:10" x14ac:dyDescent="0.2">
      <c r="C9" s="9">
        <v>2016</v>
      </c>
      <c r="D9" s="11">
        <f>'loss development'!L9</f>
        <v>2761135</v>
      </c>
      <c r="E9">
        <v>9</v>
      </c>
      <c r="F9">
        <v>1</v>
      </c>
      <c r="G9">
        <f t="shared" ref="G9:G18" si="0">PRODUCT(D9,F9)</f>
        <v>2761135</v>
      </c>
      <c r="H9">
        <f t="shared" ref="H9:H18" si="1">G9-D9</f>
        <v>0</v>
      </c>
      <c r="I9" s="8">
        <v>4436680</v>
      </c>
      <c r="J9" s="12">
        <f>(G9/I9)*100</f>
        <v>62.234260753536432</v>
      </c>
    </row>
    <row r="10" spans="3:10" x14ac:dyDescent="0.2">
      <c r="C10" s="9">
        <v>2017</v>
      </c>
      <c r="D10" s="11">
        <f>'loss development'!K10</f>
        <v>3153791</v>
      </c>
      <c r="E10">
        <v>8</v>
      </c>
      <c r="F10">
        <f>'year to ultimate LDF'!F17</f>
        <v>1.0168974983555865</v>
      </c>
      <c r="G10">
        <f t="shared" si="0"/>
        <v>3207082.1782363635</v>
      </c>
      <c r="H10" s="12">
        <f t="shared" si="1"/>
        <v>53291.178236363456</v>
      </c>
      <c r="I10" s="8">
        <v>4622303</v>
      </c>
      <c r="J10" s="12">
        <f t="shared" ref="J10:J19" si="2">(G10/I10)*100</f>
        <v>69.382776902257675</v>
      </c>
    </row>
    <row r="11" spans="3:10" x14ac:dyDescent="0.2">
      <c r="C11" s="9">
        <v>2018</v>
      </c>
      <c r="D11" s="11">
        <f>'loss development'!J11</f>
        <v>3195426</v>
      </c>
      <c r="E11">
        <v>7</v>
      </c>
      <c r="F11">
        <f>'year to ultimate LDF'!F16</f>
        <v>1.0458747243001347</v>
      </c>
      <c r="G11">
        <f t="shared" si="0"/>
        <v>3342015.2867714823</v>
      </c>
      <c r="H11" s="12">
        <f t="shared" si="1"/>
        <v>146589.28677148232</v>
      </c>
      <c r="I11" s="8">
        <v>4399180</v>
      </c>
      <c r="J11" s="12">
        <f t="shared" si="2"/>
        <v>75.969050749718875</v>
      </c>
    </row>
    <row r="12" spans="3:10" x14ac:dyDescent="0.2">
      <c r="C12" s="9">
        <v>2019</v>
      </c>
      <c r="D12" s="11">
        <f>'loss development'!I12</f>
        <v>2881238</v>
      </c>
      <c r="E12">
        <v>6</v>
      </c>
      <c r="F12">
        <f>'year to ultimate LDF'!F15</f>
        <v>1.0794481183935856</v>
      </c>
      <c r="G12">
        <f t="shared" si="0"/>
        <v>3110146.9377440978</v>
      </c>
      <c r="H12" s="12">
        <f t="shared" si="1"/>
        <v>228908.93774409778</v>
      </c>
      <c r="I12" s="8">
        <v>3658064</v>
      </c>
      <c r="J12" s="12">
        <f t="shared" si="2"/>
        <v>85.021665496943129</v>
      </c>
    </row>
    <row r="13" spans="3:10" x14ac:dyDescent="0.2">
      <c r="C13" s="9">
        <v>2020</v>
      </c>
      <c r="D13" s="11">
        <f>'loss development'!H13</f>
        <v>2555281</v>
      </c>
      <c r="E13">
        <v>5</v>
      </c>
      <c r="F13">
        <f>'year to ultimate LDF'!F14</f>
        <v>1.1340712913465192</v>
      </c>
      <c r="G13">
        <f t="shared" si="0"/>
        <v>2897870.823423225</v>
      </c>
      <c r="H13" s="12">
        <f t="shared" si="1"/>
        <v>342589.82342322497</v>
      </c>
      <c r="I13" s="8">
        <v>4205829</v>
      </c>
      <c r="J13" s="12">
        <f t="shared" si="2"/>
        <v>68.901299206963117</v>
      </c>
    </row>
    <row r="14" spans="3:10" x14ac:dyDescent="0.2">
      <c r="C14" s="9">
        <v>2021</v>
      </c>
      <c r="D14" s="11">
        <f>'loss development'!G14</f>
        <v>2780307</v>
      </c>
      <c r="E14">
        <v>4</v>
      </c>
      <c r="F14">
        <f>'year to ultimate LDF'!F13</f>
        <v>1.2038016994383975</v>
      </c>
      <c r="G14">
        <f t="shared" si="0"/>
        <v>3346938.2915604729</v>
      </c>
      <c r="H14" s="12">
        <f t="shared" si="1"/>
        <v>566631.29156047292</v>
      </c>
      <c r="I14" s="8">
        <v>4742233</v>
      </c>
      <c r="J14" s="12">
        <f t="shared" si="2"/>
        <v>70.577263739687041</v>
      </c>
    </row>
    <row r="15" spans="3:10" x14ac:dyDescent="0.2">
      <c r="C15" s="9">
        <v>2022</v>
      </c>
      <c r="D15" s="11">
        <f>'loss development'!F15</f>
        <v>3028044</v>
      </c>
      <c r="E15">
        <v>3</v>
      </c>
      <c r="F15">
        <f>'year to ultimate LDF'!F12</f>
        <v>1.3125160603324906</v>
      </c>
      <c r="G15">
        <f t="shared" si="0"/>
        <v>3974356.3813934359</v>
      </c>
      <c r="H15" s="12">
        <f t="shared" si="1"/>
        <v>946312.38139343588</v>
      </c>
      <c r="I15" s="8">
        <v>5469876</v>
      </c>
      <c r="J15" s="12">
        <f t="shared" si="2"/>
        <v>72.658984982354909</v>
      </c>
    </row>
    <row r="16" spans="3:10" x14ac:dyDescent="0.2">
      <c r="C16" s="9">
        <v>2023</v>
      </c>
      <c r="D16" s="11">
        <f>'loss development'!E16</f>
        <v>2690711</v>
      </c>
      <c r="E16">
        <v>2</v>
      </c>
      <c r="F16">
        <f>'year to ultimate LDF'!F11</f>
        <v>1.4791440352728769</v>
      </c>
      <c r="G16">
        <f t="shared" si="0"/>
        <v>3979949.1262931176</v>
      </c>
      <c r="H16" s="12">
        <f t="shared" si="1"/>
        <v>1289238.1262931176</v>
      </c>
      <c r="I16" s="8">
        <v>5568740</v>
      </c>
      <c r="J16" s="12">
        <f t="shared" si="2"/>
        <v>71.469472920142039</v>
      </c>
    </row>
    <row r="17" spans="3:10" x14ac:dyDescent="0.2">
      <c r="C17" s="9">
        <v>2024</v>
      </c>
      <c r="D17" s="11">
        <f>'loss development'!D17</f>
        <v>2216863</v>
      </c>
      <c r="E17">
        <v>1</v>
      </c>
      <c r="F17">
        <f>'year to ultimate LDF'!F10</f>
        <v>1.7457283291725922</v>
      </c>
      <c r="G17">
        <f t="shared" si="0"/>
        <v>3870040.5409945403</v>
      </c>
      <c r="H17" s="12">
        <f t="shared" si="1"/>
        <v>1653177.5409945403</v>
      </c>
      <c r="I17" s="8">
        <v>5685275</v>
      </c>
      <c r="J17" s="12">
        <f t="shared" si="2"/>
        <v>68.07129894322685</v>
      </c>
    </row>
    <row r="18" spans="3:10" x14ac:dyDescent="0.2">
      <c r="C18" s="9">
        <v>2025</v>
      </c>
      <c r="D18" s="11">
        <f>'loss development'!C18</f>
        <v>1045692</v>
      </c>
      <c r="E18">
        <v>0</v>
      </c>
      <c r="F18">
        <f>'year to ultimate LDF'!F9</f>
        <v>2.9335030955151966</v>
      </c>
      <c r="G18">
        <f t="shared" si="0"/>
        <v>3067540.7189554768</v>
      </c>
      <c r="H18" s="12">
        <f t="shared" si="1"/>
        <v>2021848.7189554768</v>
      </c>
      <c r="I18" s="8">
        <v>5947513</v>
      </c>
      <c r="J18" s="12">
        <f>(G18/I18)*100</f>
        <v>51.576864463440039</v>
      </c>
    </row>
    <row r="19" spans="3:10" x14ac:dyDescent="0.2">
      <c r="F19" s="9" t="s">
        <v>38</v>
      </c>
      <c r="G19" s="9">
        <f>SUM(G9:G18)</f>
        <v>33557075.285372213</v>
      </c>
      <c r="H19" s="13">
        <f>SUM(H9:H18)</f>
        <v>7248587.2853722116</v>
      </c>
      <c r="I19" s="14">
        <f>SUM(I9:I18)</f>
        <v>48735693</v>
      </c>
      <c r="J19" s="13">
        <f t="shared" si="2"/>
        <v>68.855233648513448</v>
      </c>
    </row>
    <row r="28" spans="3:10" x14ac:dyDescent="0.2">
      <c r="C28" s="9" t="s">
        <v>30</v>
      </c>
      <c r="D28" s="9" t="s">
        <v>31</v>
      </c>
      <c r="E28" s="9" t="s">
        <v>32</v>
      </c>
      <c r="F28" s="9" t="s">
        <v>33</v>
      </c>
      <c r="G28" s="9" t="s">
        <v>34</v>
      </c>
      <c r="H28" s="9" t="s">
        <v>35</v>
      </c>
      <c r="I28" s="9" t="s">
        <v>36</v>
      </c>
      <c r="J28" s="9" t="s">
        <v>37</v>
      </c>
    </row>
    <row r="29" spans="3:10" x14ac:dyDescent="0.2">
      <c r="C29" s="9">
        <v>2016</v>
      </c>
      <c r="D29" s="11">
        <f>'loss development'!L29</f>
        <v>1540</v>
      </c>
      <c r="E29">
        <v>9</v>
      </c>
      <c r="F29">
        <v>1</v>
      </c>
      <c r="G29">
        <f t="shared" ref="G29:G38" si="3">PRODUCT(D29,F29)</f>
        <v>1540</v>
      </c>
      <c r="H29">
        <f t="shared" ref="H29:H38" si="4">G29-D29</f>
        <v>0</v>
      </c>
      <c r="I29" s="8">
        <v>2294</v>
      </c>
      <c r="J29" s="12">
        <f>(G29/I29)*100</f>
        <v>67.131647776809061</v>
      </c>
    </row>
    <row r="30" spans="3:10" x14ac:dyDescent="0.2">
      <c r="C30" s="9">
        <v>2017</v>
      </c>
      <c r="D30" s="11">
        <f>'loss development'!K30</f>
        <v>1210</v>
      </c>
      <c r="E30">
        <v>8</v>
      </c>
      <c r="F30">
        <f>'year to ultimate LDF'!F37</f>
        <v>1</v>
      </c>
      <c r="G30">
        <f t="shared" si="3"/>
        <v>1210</v>
      </c>
      <c r="H30" s="12">
        <f t="shared" si="4"/>
        <v>0</v>
      </c>
      <c r="I30" s="8">
        <v>2313</v>
      </c>
      <c r="J30" s="12">
        <f t="shared" ref="J30:J39" si="5">(G30/I30)*100</f>
        <v>52.313013402507572</v>
      </c>
    </row>
    <row r="31" spans="3:10" x14ac:dyDescent="0.2">
      <c r="C31" s="9">
        <v>2018</v>
      </c>
      <c r="D31" s="11">
        <f>'loss development'!J31</f>
        <v>1527</v>
      </c>
      <c r="E31">
        <v>7</v>
      </c>
      <c r="F31">
        <f>'year to ultimate LDF'!F36</f>
        <v>1.000363768643143</v>
      </c>
      <c r="G31">
        <f t="shared" si="3"/>
        <v>1527.5554747180795</v>
      </c>
      <c r="H31" s="12">
        <f t="shared" si="4"/>
        <v>0.55547471807949478</v>
      </c>
      <c r="I31" s="8">
        <v>2178</v>
      </c>
      <c r="J31" s="12">
        <f t="shared" si="5"/>
        <v>70.135696727184552</v>
      </c>
    </row>
    <row r="32" spans="3:10" x14ac:dyDescent="0.2">
      <c r="C32" s="9">
        <v>2019</v>
      </c>
      <c r="D32" s="11">
        <f>'loss development'!I32</f>
        <v>6196</v>
      </c>
      <c r="E32">
        <v>6</v>
      </c>
      <c r="F32">
        <f>'year to ultimate LDF'!F35</f>
        <v>1.0010661068846429</v>
      </c>
      <c r="G32">
        <f t="shared" si="3"/>
        <v>6202.6055982572479</v>
      </c>
      <c r="H32" s="12">
        <f t="shared" si="4"/>
        <v>6.6055982572479479</v>
      </c>
      <c r="I32" s="8">
        <v>9273</v>
      </c>
      <c r="J32" s="12">
        <f t="shared" si="5"/>
        <v>66.888877367165406</v>
      </c>
    </row>
    <row r="33" spans="3:10" x14ac:dyDescent="0.2">
      <c r="C33" s="9">
        <v>2020</v>
      </c>
      <c r="D33" s="11">
        <f>'loss development'!H33</f>
        <v>16666</v>
      </c>
      <c r="E33">
        <v>5</v>
      </c>
      <c r="F33">
        <f>'year to ultimate LDF'!F34</f>
        <v>1.0035584672005484</v>
      </c>
      <c r="G33">
        <f t="shared" si="3"/>
        <v>16725.305414364339</v>
      </c>
      <c r="H33" s="12">
        <f t="shared" si="4"/>
        <v>59.305414364338503</v>
      </c>
      <c r="I33" s="8">
        <v>29472</v>
      </c>
      <c r="J33" s="12">
        <f t="shared" si="5"/>
        <v>56.749814788152619</v>
      </c>
    </row>
    <row r="34" spans="3:10" x14ac:dyDescent="0.2">
      <c r="C34" s="9">
        <v>2021</v>
      </c>
      <c r="D34" s="11">
        <f>'loss development'!G34</f>
        <v>45701</v>
      </c>
      <c r="E34">
        <v>4</v>
      </c>
      <c r="F34">
        <f>'year to ultimate LDF'!F33</f>
        <v>1.0114308308178925</v>
      </c>
      <c r="G34">
        <f t="shared" si="3"/>
        <v>46223.400399208505</v>
      </c>
      <c r="H34" s="12">
        <f t="shared" si="4"/>
        <v>522.40039920850541</v>
      </c>
      <c r="I34" s="8">
        <v>52476</v>
      </c>
      <c r="J34" s="12">
        <f t="shared" si="5"/>
        <v>88.084839544188782</v>
      </c>
    </row>
    <row r="35" spans="3:10" x14ac:dyDescent="0.2">
      <c r="C35" s="9">
        <v>2022</v>
      </c>
      <c r="D35" s="11">
        <f>'loss development'!F35</f>
        <v>38726</v>
      </c>
      <c r="E35">
        <v>3</v>
      </c>
      <c r="F35">
        <f>'year to ultimate LDF'!F32</f>
        <v>1.0206959533854345</v>
      </c>
      <c r="G35">
        <f t="shared" si="3"/>
        <v>39527.471490804339</v>
      </c>
      <c r="H35" s="12">
        <f t="shared" si="4"/>
        <v>801.47149080433883</v>
      </c>
      <c r="I35" s="8">
        <v>62905</v>
      </c>
      <c r="J35" s="12">
        <f t="shared" si="5"/>
        <v>62.836772102065552</v>
      </c>
    </row>
    <row r="36" spans="3:10" x14ac:dyDescent="0.2">
      <c r="C36" s="9">
        <v>2023</v>
      </c>
      <c r="D36" s="11">
        <f>'loss development'!E36</f>
        <v>37785</v>
      </c>
      <c r="E36">
        <v>2</v>
      </c>
      <c r="F36">
        <f>'year to ultimate LDF'!F31</f>
        <v>1.0338779770019906</v>
      </c>
      <c r="G36">
        <f t="shared" si="3"/>
        <v>39065.079361020216</v>
      </c>
      <c r="H36" s="12">
        <f t="shared" si="4"/>
        <v>1280.0793610202163</v>
      </c>
      <c r="I36" s="8">
        <v>65844</v>
      </c>
      <c r="J36" s="12">
        <f t="shared" si="5"/>
        <v>59.329748133497681</v>
      </c>
    </row>
    <row r="37" spans="3:10" x14ac:dyDescent="0.2">
      <c r="C37" s="9">
        <v>2024</v>
      </c>
      <c r="D37" s="11">
        <f>'loss development'!D37</f>
        <v>23980</v>
      </c>
      <c r="E37">
        <v>1</v>
      </c>
      <c r="F37">
        <f>'year to ultimate LDF'!F30</f>
        <v>1.0927673146034445</v>
      </c>
      <c r="G37">
        <f t="shared" si="3"/>
        <v>26204.560204190599</v>
      </c>
      <c r="H37" s="12">
        <f t="shared" si="4"/>
        <v>2224.5602041905986</v>
      </c>
      <c r="I37" s="8">
        <v>66948</v>
      </c>
      <c r="J37" s="12">
        <f t="shared" si="5"/>
        <v>39.141662490575669</v>
      </c>
    </row>
    <row r="38" spans="3:10" x14ac:dyDescent="0.2">
      <c r="C38" s="9">
        <v>2025</v>
      </c>
      <c r="D38" s="11">
        <f>'loss development'!C38</f>
        <v>24301</v>
      </c>
      <c r="E38">
        <v>0</v>
      </c>
      <c r="F38">
        <f>'year to ultimate LDF'!F29</f>
        <v>1.7991901588201302</v>
      </c>
      <c r="G38">
        <f t="shared" si="3"/>
        <v>43722.120049487981</v>
      </c>
      <c r="H38" s="12">
        <f t="shared" si="4"/>
        <v>19421.120049487981</v>
      </c>
      <c r="I38" s="8">
        <v>62106</v>
      </c>
      <c r="J38" s="12">
        <f>(G38/I38)*100</f>
        <v>70.39918856388752</v>
      </c>
    </row>
    <row r="39" spans="3:10" x14ac:dyDescent="0.2">
      <c r="F39" s="9" t="s">
        <v>38</v>
      </c>
      <c r="G39" s="9">
        <f>SUM(G29:G38)</f>
        <v>221948.09799205131</v>
      </c>
      <c r="H39" s="13">
        <f>SUM(H29:H38)</f>
        <v>24316.097992051305</v>
      </c>
      <c r="I39" s="14">
        <f>SUM(I29:I38)</f>
        <v>355809</v>
      </c>
      <c r="J39" s="13">
        <f t="shared" si="5"/>
        <v>62.378438429621319</v>
      </c>
    </row>
    <row r="46" spans="3:10" x14ac:dyDescent="0.2">
      <c r="C46" s="9" t="s">
        <v>30</v>
      </c>
      <c r="D46" s="9" t="s">
        <v>31</v>
      </c>
      <c r="E46" s="9" t="s">
        <v>32</v>
      </c>
      <c r="F46" s="9" t="s">
        <v>33</v>
      </c>
      <c r="G46" s="9" t="s">
        <v>34</v>
      </c>
      <c r="H46" s="9" t="s">
        <v>35</v>
      </c>
      <c r="I46" s="9" t="s">
        <v>36</v>
      </c>
      <c r="J46" s="9" t="s">
        <v>37</v>
      </c>
    </row>
    <row r="47" spans="3:10" x14ac:dyDescent="0.2">
      <c r="C47" s="9">
        <v>2016</v>
      </c>
    </row>
    <row r="48" spans="3:10" x14ac:dyDescent="0.2">
      <c r="C48" s="9">
        <v>2017</v>
      </c>
    </row>
    <row r="49" spans="3:10" x14ac:dyDescent="0.2">
      <c r="C49" s="9">
        <v>2018</v>
      </c>
    </row>
    <row r="50" spans="3:10" x14ac:dyDescent="0.2">
      <c r="C50" s="9">
        <v>2019</v>
      </c>
      <c r="E50" s="7" t="s">
        <v>7</v>
      </c>
    </row>
    <row r="51" spans="3:10" x14ac:dyDescent="0.2">
      <c r="C51" s="9">
        <v>2020</v>
      </c>
    </row>
    <row r="52" spans="3:10" x14ac:dyDescent="0.2">
      <c r="C52" s="9">
        <v>2021</v>
      </c>
    </row>
    <row r="53" spans="3:10" x14ac:dyDescent="0.2">
      <c r="C53" s="9">
        <v>2022</v>
      </c>
    </row>
    <row r="54" spans="3:10" x14ac:dyDescent="0.2">
      <c r="C54" s="9">
        <v>2023</v>
      </c>
    </row>
    <row r="55" spans="3:10" x14ac:dyDescent="0.2">
      <c r="C55" s="9">
        <v>2024</v>
      </c>
    </row>
    <row r="56" spans="3:10" x14ac:dyDescent="0.2">
      <c r="C56" s="9">
        <v>2025</v>
      </c>
    </row>
    <row r="64" spans="3:10" x14ac:dyDescent="0.2">
      <c r="C64" s="9" t="s">
        <v>30</v>
      </c>
      <c r="D64" s="9" t="s">
        <v>31</v>
      </c>
      <c r="E64" s="9" t="s">
        <v>32</v>
      </c>
      <c r="F64" s="9" t="s">
        <v>33</v>
      </c>
      <c r="G64" s="9" t="s">
        <v>34</v>
      </c>
      <c r="H64" s="9" t="s">
        <v>35</v>
      </c>
      <c r="I64" s="9" t="s">
        <v>36</v>
      </c>
      <c r="J64" s="9" t="s">
        <v>37</v>
      </c>
    </row>
    <row r="65" spans="3:10" x14ac:dyDescent="0.2">
      <c r="C65" s="9">
        <v>2016</v>
      </c>
      <c r="D65" s="11">
        <f>'loss development'!L65</f>
        <v>303406</v>
      </c>
      <c r="E65">
        <v>9</v>
      </c>
      <c r="F65">
        <v>1</v>
      </c>
      <c r="G65">
        <f t="shared" ref="G65:G74" si="6">PRODUCT(D65,F65)</f>
        <v>303406</v>
      </c>
      <c r="H65">
        <f t="shared" ref="H65:H74" si="7">G65-D65</f>
        <v>0</v>
      </c>
      <c r="I65" s="8">
        <v>377433</v>
      </c>
      <c r="J65" s="12">
        <f>(G65/I65)*100</f>
        <v>80.386717642601468</v>
      </c>
    </row>
    <row r="66" spans="3:10" x14ac:dyDescent="0.2">
      <c r="C66" s="9">
        <v>2017</v>
      </c>
      <c r="D66" s="11">
        <f>'loss development'!K66</f>
        <v>288681</v>
      </c>
      <c r="E66">
        <v>8</v>
      </c>
      <c r="F66">
        <f>'year to ultimate LDF'!F73</f>
        <v>1.0199515246864401</v>
      </c>
      <c r="G66">
        <f t="shared" si="6"/>
        <v>294440.62609800621</v>
      </c>
      <c r="H66" s="12">
        <f t="shared" si="7"/>
        <v>5759.626098006207</v>
      </c>
      <c r="I66" s="8">
        <v>351006</v>
      </c>
      <c r="J66" s="12">
        <f t="shared" ref="J66:J75" si="8">(G66/I66)*100</f>
        <v>83.884784333602909</v>
      </c>
    </row>
    <row r="67" spans="3:10" x14ac:dyDescent="0.2">
      <c r="C67" s="9">
        <v>2018</v>
      </c>
      <c r="D67" s="11">
        <f>'loss development'!J67</f>
        <v>282087</v>
      </c>
      <c r="E67">
        <v>7</v>
      </c>
      <c r="F67">
        <f>'year to ultimate LDF'!F72</f>
        <v>1.0318249971056721</v>
      </c>
      <c r="G67">
        <f t="shared" si="6"/>
        <v>291064.41795854771</v>
      </c>
      <c r="H67" s="12">
        <f t="shared" si="7"/>
        <v>8977.4179585477104</v>
      </c>
      <c r="I67" s="8">
        <v>331597</v>
      </c>
      <c r="J67" s="12">
        <f t="shared" si="8"/>
        <v>87.776553454508857</v>
      </c>
    </row>
    <row r="68" spans="3:10" x14ac:dyDescent="0.2">
      <c r="C68" s="9">
        <v>2019</v>
      </c>
      <c r="D68" s="11">
        <f>'loss development'!I68</f>
        <v>266627</v>
      </c>
      <c r="E68">
        <v>6</v>
      </c>
      <c r="F68">
        <f>'year to ultimate LDF'!F71</f>
        <v>1.0558969180600839</v>
      </c>
      <c r="G68">
        <f t="shared" si="6"/>
        <v>281530.62757160602</v>
      </c>
      <c r="H68" s="12">
        <f t="shared" si="7"/>
        <v>14903.627571606019</v>
      </c>
      <c r="I68" s="8">
        <v>318366</v>
      </c>
      <c r="J68" s="12">
        <f t="shared" si="8"/>
        <v>88.429866120002146</v>
      </c>
    </row>
    <row r="69" spans="3:10" x14ac:dyDescent="0.2">
      <c r="C69" s="9">
        <v>2020</v>
      </c>
      <c r="D69" s="11">
        <f>'loss development'!H69</f>
        <v>232438</v>
      </c>
      <c r="E69">
        <v>5</v>
      </c>
      <c r="F69">
        <f>'year to ultimate LDF'!F70</f>
        <v>1.115915794096993</v>
      </c>
      <c r="G69">
        <f t="shared" si="6"/>
        <v>259381.23534831687</v>
      </c>
      <c r="H69" s="12">
        <f t="shared" si="7"/>
        <v>26943.23534831687</v>
      </c>
      <c r="I69" s="8">
        <v>347014</v>
      </c>
      <c r="J69" s="12">
        <f t="shared" si="8"/>
        <v>74.74661983329689</v>
      </c>
    </row>
    <row r="70" spans="3:10" x14ac:dyDescent="0.2">
      <c r="C70" s="9">
        <v>2021</v>
      </c>
      <c r="D70" s="11">
        <f>'loss development'!G70</f>
        <v>280082</v>
      </c>
      <c r="E70">
        <v>4</v>
      </c>
      <c r="F70">
        <f>'year to ultimate LDF'!F69</f>
        <v>1.2202623692548622</v>
      </c>
      <c r="G70">
        <f t="shared" si="6"/>
        <v>341773.52490564034</v>
      </c>
      <c r="H70" s="12">
        <f t="shared" si="7"/>
        <v>61691.524905640341</v>
      </c>
      <c r="I70" s="8">
        <v>377415</v>
      </c>
      <c r="J70" s="12">
        <f t="shared" si="8"/>
        <v>90.556423275609163</v>
      </c>
    </row>
    <row r="71" spans="3:10" x14ac:dyDescent="0.2">
      <c r="C71" s="9">
        <v>2022</v>
      </c>
      <c r="D71" s="11">
        <f>'loss development'!F71</f>
        <v>276936</v>
      </c>
      <c r="E71">
        <v>3</v>
      </c>
      <c r="F71">
        <f>'year to ultimate LDF'!F68</f>
        <v>1.4845784302303859</v>
      </c>
      <c r="G71">
        <f t="shared" si="6"/>
        <v>411133.21215428214</v>
      </c>
      <c r="H71" s="12">
        <f t="shared" si="7"/>
        <v>134197.21215428214</v>
      </c>
      <c r="I71" s="8">
        <v>409229</v>
      </c>
      <c r="J71" s="12">
        <f t="shared" si="8"/>
        <v>100.46531701181543</v>
      </c>
    </row>
    <row r="72" spans="3:10" x14ac:dyDescent="0.2">
      <c r="C72" s="9">
        <v>2023</v>
      </c>
      <c r="D72" s="11">
        <f>'loss development'!E72</f>
        <v>219976</v>
      </c>
      <c r="E72">
        <v>2</v>
      </c>
      <c r="F72">
        <f>'year to ultimate LDF'!F67</f>
        <v>2.1172309862458962</v>
      </c>
      <c r="G72">
        <f t="shared" si="6"/>
        <v>465740.00343042728</v>
      </c>
      <c r="H72" s="12">
        <f t="shared" si="7"/>
        <v>245764.00343042728</v>
      </c>
      <c r="I72" s="8">
        <v>436803</v>
      </c>
      <c r="J72" s="12">
        <f t="shared" si="8"/>
        <v>106.62472634813113</v>
      </c>
    </row>
    <row r="73" spans="3:10" x14ac:dyDescent="0.2">
      <c r="C73" s="9">
        <v>2024</v>
      </c>
      <c r="D73" s="11">
        <f>'loss development'!D73</f>
        <v>109673</v>
      </c>
      <c r="E73">
        <v>1</v>
      </c>
      <c r="F73">
        <f>'year to ultimate LDF'!F66</f>
        <v>3.8533619967974264</v>
      </c>
      <c r="G73">
        <f t="shared" si="6"/>
        <v>422609.77027476416</v>
      </c>
      <c r="H73" s="12">
        <f t="shared" si="7"/>
        <v>312936.77027476416</v>
      </c>
      <c r="I73" s="8">
        <v>479270</v>
      </c>
      <c r="J73" s="12">
        <f t="shared" si="8"/>
        <v>88.177805887029052</v>
      </c>
    </row>
    <row r="74" spans="3:10" x14ac:dyDescent="0.2">
      <c r="C74" s="9">
        <v>2025</v>
      </c>
      <c r="D74" s="11">
        <f>'loss development'!C74</f>
        <v>22076</v>
      </c>
      <c r="E74">
        <v>0</v>
      </c>
      <c r="F74">
        <f>'year to ultimate LDF'!F65</f>
        <v>12.533636773668169</v>
      </c>
      <c r="G74">
        <f t="shared" si="6"/>
        <v>276692.56541549851</v>
      </c>
      <c r="H74" s="12">
        <f t="shared" si="7"/>
        <v>254616.56541549851</v>
      </c>
      <c r="I74" s="8">
        <v>467554</v>
      </c>
      <c r="J74" s="12">
        <f>(G74/I74)*100</f>
        <v>59.178739870795347</v>
      </c>
    </row>
    <row r="75" spans="3:10" x14ac:dyDescent="0.2">
      <c r="F75" s="9" t="s">
        <v>38</v>
      </c>
      <c r="G75" s="9">
        <f>SUM(G65:G74)</f>
        <v>3347771.9831570885</v>
      </c>
      <c r="H75" s="13">
        <f>SUM(H65:H74)</f>
        <v>1065789.9831570892</v>
      </c>
      <c r="I75" s="14">
        <f>SUM(I65:I74)</f>
        <v>3895687</v>
      </c>
      <c r="J75" s="13">
        <f t="shared" si="8"/>
        <v>85.935342935843877</v>
      </c>
    </row>
    <row r="82" spans="3:10" x14ac:dyDescent="0.2">
      <c r="C82" s="9" t="s">
        <v>30</v>
      </c>
      <c r="D82" s="9" t="s">
        <v>31</v>
      </c>
      <c r="E82" s="9" t="s">
        <v>32</v>
      </c>
      <c r="F82" s="9" t="s">
        <v>33</v>
      </c>
      <c r="G82" s="9" t="s">
        <v>34</v>
      </c>
      <c r="H82" s="9" t="s">
        <v>35</v>
      </c>
      <c r="I82" s="9" t="s">
        <v>36</v>
      </c>
      <c r="J82" s="9" t="s">
        <v>37</v>
      </c>
    </row>
    <row r="83" spans="3:10" x14ac:dyDescent="0.2">
      <c r="C83" s="9">
        <v>2016</v>
      </c>
      <c r="D83" s="11">
        <f>'loss development'!L83</f>
        <v>428511</v>
      </c>
      <c r="E83">
        <v>9</v>
      </c>
      <c r="F83">
        <v>1</v>
      </c>
      <c r="G83">
        <f t="shared" ref="G83:G92" si="9">PRODUCT(D83,F83)</f>
        <v>428511</v>
      </c>
      <c r="H83">
        <f t="shared" ref="H83:H92" si="10">G83-D83</f>
        <v>0</v>
      </c>
      <c r="I83" s="8">
        <v>1001313</v>
      </c>
      <c r="J83" s="12">
        <f>(G83/I83)*100</f>
        <v>42.794910282798689</v>
      </c>
    </row>
    <row r="84" spans="3:10" x14ac:dyDescent="0.2">
      <c r="C84" s="9">
        <v>2017</v>
      </c>
      <c r="D84" s="11">
        <f>'loss development'!K84</f>
        <v>428884</v>
      </c>
      <c r="E84">
        <v>8</v>
      </c>
      <c r="F84">
        <f>'year to ultimate LDF'!F91</f>
        <v>1.0206579680733998</v>
      </c>
      <c r="G84">
        <f t="shared" si="9"/>
        <v>437743.87197919202</v>
      </c>
      <c r="H84" s="12">
        <f t="shared" si="10"/>
        <v>8859.8719791920157</v>
      </c>
      <c r="I84" s="8">
        <v>979273</v>
      </c>
      <c r="J84" s="12">
        <f t="shared" ref="J84:J93" si="11">(G84/I84)*100</f>
        <v>44.700902810471852</v>
      </c>
    </row>
    <row r="85" spans="3:10" x14ac:dyDescent="0.2">
      <c r="C85" s="9">
        <v>2018</v>
      </c>
      <c r="D85" s="11">
        <f>'loss development'!J85</f>
        <v>426186</v>
      </c>
      <c r="E85">
        <v>7</v>
      </c>
      <c r="F85">
        <f>'year to ultimate LDF'!F90</f>
        <v>1.049416959911216</v>
      </c>
      <c r="G85">
        <f t="shared" si="9"/>
        <v>447246.81647672149</v>
      </c>
      <c r="H85" s="12">
        <f t="shared" si="10"/>
        <v>21060.816476721491</v>
      </c>
      <c r="I85" s="8">
        <v>914331</v>
      </c>
      <c r="J85" s="12">
        <f t="shared" si="11"/>
        <v>48.91519772125428</v>
      </c>
    </row>
    <row r="86" spans="3:10" x14ac:dyDescent="0.2">
      <c r="C86" s="9">
        <v>2019</v>
      </c>
      <c r="D86" s="11">
        <f>'loss development'!I86</f>
        <v>384901</v>
      </c>
      <c r="E86">
        <v>6</v>
      </c>
      <c r="F86">
        <f>'year to ultimate LDF'!F89</f>
        <v>1.0827779491593035</v>
      </c>
      <c r="G86">
        <f t="shared" si="9"/>
        <v>416762.31540936505</v>
      </c>
      <c r="H86" s="12">
        <f t="shared" si="10"/>
        <v>31861.315409365052</v>
      </c>
      <c r="I86" s="8">
        <v>843904</v>
      </c>
      <c r="J86" s="12">
        <f t="shared" si="11"/>
        <v>49.385038512599188</v>
      </c>
    </row>
    <row r="87" spans="3:10" x14ac:dyDescent="0.2">
      <c r="C87" s="9">
        <v>2020</v>
      </c>
      <c r="D87" s="11">
        <f>'loss development'!H87</f>
        <v>243429</v>
      </c>
      <c r="E87">
        <v>5</v>
      </c>
      <c r="F87">
        <f>'year to ultimate LDF'!F88</f>
        <v>1.1318606152099369</v>
      </c>
      <c r="G87">
        <f t="shared" si="9"/>
        <v>275527.69769993972</v>
      </c>
      <c r="H87" s="12">
        <f t="shared" si="10"/>
        <v>32098.697699939716</v>
      </c>
      <c r="I87" s="8">
        <v>733892</v>
      </c>
      <c r="J87" s="12">
        <f t="shared" si="11"/>
        <v>37.54335756486509</v>
      </c>
    </row>
    <row r="88" spans="3:10" x14ac:dyDescent="0.2">
      <c r="C88" s="9">
        <v>2021</v>
      </c>
      <c r="D88" s="11">
        <f>'loss development'!G88</f>
        <v>262659</v>
      </c>
      <c r="E88">
        <v>4</v>
      </c>
      <c r="F88">
        <f>'year to ultimate LDF'!F87</f>
        <v>1.2098935059883995</v>
      </c>
      <c r="G88">
        <f t="shared" si="9"/>
        <v>317789.41838940704</v>
      </c>
      <c r="H88" s="12">
        <f t="shared" si="10"/>
        <v>55130.418389407045</v>
      </c>
      <c r="I88" s="8">
        <v>649529</v>
      </c>
      <c r="J88" s="12">
        <f t="shared" si="11"/>
        <v>48.926132380449076</v>
      </c>
    </row>
    <row r="89" spans="3:10" x14ac:dyDescent="0.2">
      <c r="C89" s="9">
        <v>2022</v>
      </c>
      <c r="D89" s="11">
        <f>'loss development'!F89</f>
        <v>232191</v>
      </c>
      <c r="E89">
        <v>3</v>
      </c>
      <c r="F89">
        <f>'year to ultimate LDF'!F86</f>
        <v>1.3298321384938054</v>
      </c>
      <c r="G89">
        <f t="shared" si="9"/>
        <v>308775.0540690152</v>
      </c>
      <c r="H89" s="12">
        <f t="shared" si="10"/>
        <v>76584.054069015197</v>
      </c>
      <c r="I89" s="8">
        <v>719032</v>
      </c>
      <c r="J89" s="12">
        <f t="shared" si="11"/>
        <v>42.943158867618578</v>
      </c>
    </row>
    <row r="90" spans="3:10" x14ac:dyDescent="0.2">
      <c r="C90" s="9">
        <v>2023</v>
      </c>
      <c r="D90" s="11">
        <f>'loss development'!E90</f>
        <v>215278</v>
      </c>
      <c r="E90">
        <v>2</v>
      </c>
      <c r="F90">
        <f>'year to ultimate LDF'!F85</f>
        <v>1.5607573475361456</v>
      </c>
      <c r="G90">
        <f t="shared" si="9"/>
        <v>335996.72026288637</v>
      </c>
      <c r="H90" s="12">
        <f t="shared" si="10"/>
        <v>120718.72026288637</v>
      </c>
      <c r="I90" s="8">
        <v>780245</v>
      </c>
      <c r="J90" s="12">
        <f t="shared" si="11"/>
        <v>43.062976406498777</v>
      </c>
    </row>
    <row r="91" spans="3:10" x14ac:dyDescent="0.2">
      <c r="C91" s="9">
        <v>2024</v>
      </c>
      <c r="D91" s="11">
        <f>'loss development'!D91</f>
        <v>182178</v>
      </c>
      <c r="E91">
        <v>1</v>
      </c>
      <c r="F91">
        <f>'year to ultimate LDF'!F84</f>
        <v>2.0660018112161418</v>
      </c>
      <c r="G91">
        <f t="shared" si="9"/>
        <v>376380.07796373428</v>
      </c>
      <c r="H91" s="12">
        <f t="shared" si="10"/>
        <v>194202.07796373428</v>
      </c>
      <c r="I91" s="8">
        <v>759921</v>
      </c>
      <c r="J91" s="12">
        <f t="shared" si="11"/>
        <v>49.528842861788831</v>
      </c>
    </row>
    <row r="92" spans="3:10" x14ac:dyDescent="0.2">
      <c r="C92" s="9">
        <v>2025</v>
      </c>
      <c r="D92" s="11">
        <f>'loss development'!C92</f>
        <v>68647</v>
      </c>
      <c r="E92">
        <v>0</v>
      </c>
      <c r="F92">
        <f>'year to ultimate LDF'!F83</f>
        <v>4.8610782895926263</v>
      </c>
      <c r="G92">
        <f t="shared" si="9"/>
        <v>333698.44134566502</v>
      </c>
      <c r="H92" s="12">
        <f t="shared" si="10"/>
        <v>265051.44134566502</v>
      </c>
      <c r="I92" s="8">
        <v>732259</v>
      </c>
      <c r="J92" s="12">
        <f>(G92/I92)*100</f>
        <v>45.57109456430922</v>
      </c>
    </row>
    <row r="93" spans="3:10" x14ac:dyDescent="0.2">
      <c r="F93" s="9" t="s">
        <v>38</v>
      </c>
      <c r="G93" s="9">
        <f>SUM(G83:G92)</f>
        <v>3678431.4135959265</v>
      </c>
      <c r="H93" s="13">
        <f>SUM(H83:H92)</f>
        <v>805567.41359592613</v>
      </c>
      <c r="I93" s="14">
        <f>SUM(I83:I92)</f>
        <v>8113699</v>
      </c>
      <c r="J93" s="13">
        <f t="shared" si="11"/>
        <v>45.336059590033187</v>
      </c>
    </row>
    <row r="100" spans="3:10" x14ac:dyDescent="0.2">
      <c r="C100" s="9" t="s">
        <v>30</v>
      </c>
      <c r="D100" s="9" t="s">
        <v>31</v>
      </c>
      <c r="E100" s="9" t="s">
        <v>32</v>
      </c>
      <c r="F100" s="9" t="s">
        <v>33</v>
      </c>
      <c r="G100" s="9" t="s">
        <v>34</v>
      </c>
      <c r="H100" s="9" t="s">
        <v>35</v>
      </c>
      <c r="I100" s="9" t="s">
        <v>36</v>
      </c>
      <c r="J100" s="9" t="s">
        <v>37</v>
      </c>
    </row>
    <row r="101" spans="3:10" x14ac:dyDescent="0.2">
      <c r="C101" s="9">
        <v>2016</v>
      </c>
      <c r="D101" s="11">
        <f>'loss development'!L101</f>
        <v>253197</v>
      </c>
      <c r="E101">
        <v>9</v>
      </c>
      <c r="F101">
        <v>1</v>
      </c>
      <c r="G101">
        <f t="shared" ref="G101:G110" si="12">PRODUCT(D101,F101)</f>
        <v>253197</v>
      </c>
      <c r="H101">
        <f t="shared" ref="H101:H110" si="13">G101-D101</f>
        <v>0</v>
      </c>
      <c r="I101" s="8">
        <v>300738</v>
      </c>
      <c r="J101" s="12">
        <f>(G101/I101)*100</f>
        <v>84.191887955629156</v>
      </c>
    </row>
    <row r="102" spans="3:10" x14ac:dyDescent="0.2">
      <c r="C102" s="9">
        <v>2017</v>
      </c>
      <c r="D102" s="11">
        <f>'loss development'!K102</f>
        <v>266034</v>
      </c>
      <c r="E102">
        <v>8</v>
      </c>
      <c r="F102">
        <f>'year to ultimate LDF'!F109</f>
        <v>1.0099842836286468</v>
      </c>
      <c r="G102">
        <f t="shared" si="12"/>
        <v>268690.15891086339</v>
      </c>
      <c r="H102" s="12">
        <f t="shared" si="13"/>
        <v>2656.1589108633925</v>
      </c>
      <c r="I102" s="8">
        <v>266435</v>
      </c>
      <c r="J102" s="12">
        <f t="shared" ref="J102:J111" si="14">(G102/I102)*100</f>
        <v>100.84641991887831</v>
      </c>
    </row>
    <row r="103" spans="3:10" x14ac:dyDescent="0.2">
      <c r="C103" s="9">
        <v>2018</v>
      </c>
      <c r="D103" s="11">
        <f>'loss development'!J103</f>
        <v>221857</v>
      </c>
      <c r="E103">
        <v>7</v>
      </c>
      <c r="F103">
        <f>'year to ultimate LDF'!F108</f>
        <v>1.0216534767432812</v>
      </c>
      <c r="G103">
        <f t="shared" si="12"/>
        <v>226660.97538983414</v>
      </c>
      <c r="H103" s="12">
        <f t="shared" si="13"/>
        <v>4803.9753898341442</v>
      </c>
      <c r="I103" s="8">
        <v>253902</v>
      </c>
      <c r="J103" s="12">
        <f t="shared" si="14"/>
        <v>89.271047644301404</v>
      </c>
    </row>
    <row r="104" spans="3:10" x14ac:dyDescent="0.2">
      <c r="C104" s="9">
        <v>2019</v>
      </c>
      <c r="D104" s="11">
        <f>'loss development'!I104</f>
        <v>170536</v>
      </c>
      <c r="E104">
        <v>6</v>
      </c>
      <c r="F104">
        <f>'year to ultimate LDF'!F107</f>
        <v>1.0359323404624206</v>
      </c>
      <c r="G104">
        <f t="shared" si="12"/>
        <v>176663.75761309935</v>
      </c>
      <c r="H104" s="12">
        <f t="shared" si="13"/>
        <v>6127.7576130993548</v>
      </c>
      <c r="I104" s="8">
        <v>200455</v>
      </c>
      <c r="J104" s="12">
        <f t="shared" si="14"/>
        <v>88.131379917237965</v>
      </c>
    </row>
    <row r="105" spans="3:10" x14ac:dyDescent="0.2">
      <c r="C105" s="9">
        <v>2020</v>
      </c>
      <c r="D105" s="11">
        <f>'loss development'!H105</f>
        <v>169858</v>
      </c>
      <c r="E105">
        <v>5</v>
      </c>
      <c r="F105">
        <f>'year to ultimate LDF'!F106</f>
        <v>1.0625032492679558</v>
      </c>
      <c r="G105">
        <f t="shared" si="12"/>
        <v>180474.67691415644</v>
      </c>
      <c r="H105" s="12">
        <f t="shared" si="13"/>
        <v>10616.676914156444</v>
      </c>
      <c r="I105" s="8">
        <v>252714</v>
      </c>
      <c r="J105" s="12">
        <f t="shared" si="14"/>
        <v>71.414593933915981</v>
      </c>
    </row>
    <row r="106" spans="3:10" x14ac:dyDescent="0.2">
      <c r="C106" s="9">
        <v>2021</v>
      </c>
      <c r="D106" s="11">
        <f>'loss development'!G106</f>
        <v>192914</v>
      </c>
      <c r="E106">
        <v>4</v>
      </c>
      <c r="F106">
        <f>'year to ultimate LDF'!F105</f>
        <v>1.1112148627702352</v>
      </c>
      <c r="G106">
        <f t="shared" si="12"/>
        <v>214368.90403645716</v>
      </c>
      <c r="H106" s="12">
        <f t="shared" si="13"/>
        <v>21454.904036457156</v>
      </c>
      <c r="I106" s="8">
        <v>271520</v>
      </c>
      <c r="J106" s="12">
        <f t="shared" si="14"/>
        <v>78.951423113014556</v>
      </c>
    </row>
    <row r="107" spans="3:10" x14ac:dyDescent="0.2">
      <c r="C107" s="9">
        <v>2022</v>
      </c>
      <c r="D107" s="11">
        <f>'loss development'!F107</f>
        <v>150567</v>
      </c>
      <c r="E107">
        <v>3</v>
      </c>
      <c r="F107">
        <f>'year to ultimate LDF'!F104</f>
        <v>1.1880382828027978</v>
      </c>
      <c r="G107">
        <f t="shared" si="12"/>
        <v>178879.36012676885</v>
      </c>
      <c r="H107" s="12">
        <f t="shared" si="13"/>
        <v>28312.36012676885</v>
      </c>
      <c r="I107" s="8">
        <v>253449</v>
      </c>
      <c r="J107" s="12">
        <f t="shared" si="14"/>
        <v>70.578049282801999</v>
      </c>
    </row>
    <row r="108" spans="3:10" x14ac:dyDescent="0.2">
      <c r="C108" s="9">
        <v>2023</v>
      </c>
      <c r="D108" s="11">
        <f>'loss development'!E108</f>
        <v>105726</v>
      </c>
      <c r="E108">
        <v>2</v>
      </c>
      <c r="F108">
        <f>'year to ultimate LDF'!F103</f>
        <v>1.3191667089022356</v>
      </c>
      <c r="G108">
        <f t="shared" si="12"/>
        <v>139470.21946539776</v>
      </c>
      <c r="H108" s="12">
        <f t="shared" si="13"/>
        <v>33744.219465397764</v>
      </c>
      <c r="I108" s="8">
        <v>273546</v>
      </c>
      <c r="J108" s="12">
        <f t="shared" si="14"/>
        <v>50.986020437293092</v>
      </c>
    </row>
    <row r="109" spans="3:10" x14ac:dyDescent="0.2">
      <c r="C109" s="9">
        <v>2024</v>
      </c>
      <c r="D109" s="11">
        <f>'loss development'!D109</f>
        <v>100165</v>
      </c>
      <c r="E109">
        <v>1</v>
      </c>
      <c r="F109">
        <f>'year to ultimate LDF'!F102</f>
        <v>1.5414247715309368</v>
      </c>
      <c r="G109">
        <f t="shared" si="12"/>
        <v>154396.81224039628</v>
      </c>
      <c r="H109" s="12">
        <f t="shared" si="13"/>
        <v>54231.812240396277</v>
      </c>
      <c r="I109" s="8">
        <v>285029</v>
      </c>
      <c r="J109" s="12">
        <f t="shared" si="14"/>
        <v>54.168808170535733</v>
      </c>
    </row>
    <row r="110" spans="3:10" x14ac:dyDescent="0.2">
      <c r="C110" s="9">
        <v>2025</v>
      </c>
      <c r="D110" s="11">
        <f>'loss development'!C110</f>
        <v>55019</v>
      </c>
      <c r="E110">
        <v>0</v>
      </c>
      <c r="F110">
        <f>'year to ultimate LDF'!F101</f>
        <v>2.8573780693862942</v>
      </c>
      <c r="G110">
        <f t="shared" si="12"/>
        <v>157210.08399956452</v>
      </c>
      <c r="H110" s="12">
        <f t="shared" si="13"/>
        <v>102191.08399956452</v>
      </c>
      <c r="I110" s="8">
        <v>298064</v>
      </c>
      <c r="J110" s="12">
        <f>(G110/I110)*100</f>
        <v>52.743734231428327</v>
      </c>
    </row>
    <row r="111" spans="3:10" x14ac:dyDescent="0.2">
      <c r="F111" s="9" t="s">
        <v>38</v>
      </c>
      <c r="G111" s="9">
        <f>SUM(G101:G110)</f>
        <v>1950011.9486965379</v>
      </c>
      <c r="H111" s="13">
        <f>SUM(H101:H110)</f>
        <v>264138.94869653787</v>
      </c>
      <c r="I111" s="14">
        <f>SUM(I101:I110)</f>
        <v>2655852</v>
      </c>
      <c r="J111" s="13">
        <f t="shared" si="14"/>
        <v>73.423215928317461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872F-36B7-1F47-A098-560AA640B221}">
  <dimension ref="B8:G110"/>
  <sheetViews>
    <sheetView tabSelected="1" workbookViewId="0">
      <selection activeCell="K33" sqref="K33"/>
    </sheetView>
  </sheetViews>
  <sheetFormatPr baseColWidth="10" defaultRowHeight="16" x14ac:dyDescent="0.2"/>
  <cols>
    <col min="2" max="2" width="12.5" bestFit="1" customWidth="1"/>
    <col min="3" max="3" width="15.83203125" bestFit="1" customWidth="1"/>
    <col min="4" max="4" width="29.5" bestFit="1" customWidth="1"/>
    <col min="5" max="5" width="25.5" bestFit="1" customWidth="1"/>
    <col min="6" max="6" width="16.83203125" bestFit="1" customWidth="1"/>
    <col min="7" max="7" width="20.1640625" bestFit="1" customWidth="1"/>
  </cols>
  <sheetData>
    <row r="8" spans="2:7" x14ac:dyDescent="0.2">
      <c r="B8" s="9" t="s">
        <v>30</v>
      </c>
      <c r="C8" s="9" t="s">
        <v>36</v>
      </c>
      <c r="D8" s="9" t="s">
        <v>39</v>
      </c>
      <c r="E8" s="9" t="s">
        <v>40</v>
      </c>
      <c r="F8" s="9" t="s">
        <v>41</v>
      </c>
      <c r="G8" s="9" t="s">
        <v>42</v>
      </c>
    </row>
    <row r="9" spans="2:7" x14ac:dyDescent="0.2">
      <c r="B9" s="9">
        <v>2016</v>
      </c>
      <c r="C9" s="8">
        <v>4436680</v>
      </c>
      <c r="D9" s="12">
        <f>'loss reserve and loss ratio'!J9</f>
        <v>62.234260753536432</v>
      </c>
      <c r="E9" s="15">
        <v>68.855233648513448</v>
      </c>
      <c r="F9" s="12">
        <f>D9-E9</f>
        <v>-6.6209728949770152</v>
      </c>
      <c r="G9" s="16" t="s">
        <v>44</v>
      </c>
    </row>
    <row r="10" spans="2:7" x14ac:dyDescent="0.2">
      <c r="B10" s="9">
        <v>2017</v>
      </c>
      <c r="C10" s="8">
        <v>4622303</v>
      </c>
      <c r="D10" s="12">
        <f>'loss reserve and loss ratio'!J10</f>
        <v>69.382776902257675</v>
      </c>
      <c r="E10" s="15">
        <v>68.855233648513448</v>
      </c>
      <c r="F10" s="12">
        <f>D10-E10</f>
        <v>0.52754325374422706</v>
      </c>
      <c r="G10" s="9" t="s">
        <v>43</v>
      </c>
    </row>
    <row r="11" spans="2:7" x14ac:dyDescent="0.2">
      <c r="B11" s="9">
        <v>2018</v>
      </c>
      <c r="C11" s="8">
        <v>4399180</v>
      </c>
      <c r="D11" s="12">
        <f>'loss reserve and loss ratio'!J11</f>
        <v>75.969050749718875</v>
      </c>
      <c r="E11" s="15">
        <v>68.855233648513448</v>
      </c>
      <c r="F11" s="12">
        <f t="shared" ref="F11:F18" si="0">D11-E11</f>
        <v>7.1138171012054272</v>
      </c>
      <c r="G11" s="17" t="s">
        <v>45</v>
      </c>
    </row>
    <row r="12" spans="2:7" x14ac:dyDescent="0.2">
      <c r="B12" s="9">
        <v>2019</v>
      </c>
      <c r="C12" s="8">
        <v>3658064</v>
      </c>
      <c r="D12" s="12">
        <f>'loss reserve and loss ratio'!J12</f>
        <v>85.021665496943129</v>
      </c>
      <c r="E12" s="15">
        <v>68.855233648513448</v>
      </c>
      <c r="F12" s="12">
        <f t="shared" si="0"/>
        <v>16.166431848429681</v>
      </c>
      <c r="G12" s="17" t="s">
        <v>45</v>
      </c>
    </row>
    <row r="13" spans="2:7" x14ac:dyDescent="0.2">
      <c r="B13" s="9">
        <v>2020</v>
      </c>
      <c r="C13" s="8">
        <v>4205829</v>
      </c>
      <c r="D13" s="12">
        <f>'loss reserve and loss ratio'!J13</f>
        <v>68.901299206963117</v>
      </c>
      <c r="E13" s="15">
        <v>68.855233648513448</v>
      </c>
      <c r="F13" s="12">
        <f t="shared" si="0"/>
        <v>4.6065558449669197E-2</v>
      </c>
      <c r="G13" s="9" t="s">
        <v>43</v>
      </c>
    </row>
    <row r="14" spans="2:7" x14ac:dyDescent="0.2">
      <c r="B14" s="9">
        <v>2021</v>
      </c>
      <c r="C14" s="8">
        <v>4742233</v>
      </c>
      <c r="D14" s="12">
        <f>'loss reserve and loss ratio'!J14</f>
        <v>70.577263739687041</v>
      </c>
      <c r="E14" s="15">
        <v>68.855233648513448</v>
      </c>
      <c r="F14" s="12">
        <f t="shared" si="0"/>
        <v>1.7220300911735933</v>
      </c>
      <c r="G14" s="9" t="s">
        <v>43</v>
      </c>
    </row>
    <row r="15" spans="2:7" x14ac:dyDescent="0.2">
      <c r="B15" s="9">
        <v>2022</v>
      </c>
      <c r="C15" s="8">
        <v>5469876</v>
      </c>
      <c r="D15" s="12">
        <f>'loss reserve and loss ratio'!J15</f>
        <v>72.658984982354909</v>
      </c>
      <c r="E15" s="15">
        <v>68.855233648513448</v>
      </c>
      <c r="F15" s="12">
        <f t="shared" si="0"/>
        <v>3.8037513338414612</v>
      </c>
      <c r="G15" s="9" t="s">
        <v>43</v>
      </c>
    </row>
    <row r="16" spans="2:7" x14ac:dyDescent="0.2">
      <c r="B16" s="9">
        <v>2023</v>
      </c>
      <c r="C16" s="8">
        <v>5568740</v>
      </c>
      <c r="D16" s="12">
        <f>'loss reserve and loss ratio'!J16</f>
        <v>71.469472920142039</v>
      </c>
      <c r="E16" s="15">
        <v>68.855233648513448</v>
      </c>
      <c r="F16" s="12">
        <f t="shared" si="0"/>
        <v>2.6142392716285912</v>
      </c>
      <c r="G16" s="9" t="s">
        <v>43</v>
      </c>
    </row>
    <row r="17" spans="2:7" x14ac:dyDescent="0.2">
      <c r="B17" s="9">
        <v>2024</v>
      </c>
      <c r="C17" s="8">
        <v>5685275</v>
      </c>
      <c r="D17" s="12">
        <f>'loss reserve and loss ratio'!J17</f>
        <v>68.07129894322685</v>
      </c>
      <c r="E17" s="15">
        <v>68.855233648513448</v>
      </c>
      <c r="F17" s="12">
        <f t="shared" si="0"/>
        <v>-0.78393470528659748</v>
      </c>
      <c r="G17" s="9" t="s">
        <v>43</v>
      </c>
    </row>
    <row r="18" spans="2:7" x14ac:dyDescent="0.2">
      <c r="B18" s="9">
        <v>2025</v>
      </c>
      <c r="C18" s="8">
        <v>5947513</v>
      </c>
      <c r="D18" s="12">
        <f>'loss reserve and loss ratio'!J18</f>
        <v>51.576864463440039</v>
      </c>
      <c r="E18" s="15">
        <v>68.855233648513448</v>
      </c>
      <c r="F18" s="12">
        <f t="shared" si="0"/>
        <v>-17.278369185073409</v>
      </c>
      <c r="G18" s="16" t="s">
        <v>44</v>
      </c>
    </row>
    <row r="28" spans="2:7" x14ac:dyDescent="0.2">
      <c r="B28" s="9" t="s">
        <v>30</v>
      </c>
      <c r="C28" s="9" t="s">
        <v>36</v>
      </c>
      <c r="D28" s="9" t="s">
        <v>39</v>
      </c>
      <c r="E28" s="9" t="s">
        <v>40</v>
      </c>
      <c r="F28" s="9" t="s">
        <v>41</v>
      </c>
      <c r="G28" s="9" t="s">
        <v>42</v>
      </c>
    </row>
    <row r="29" spans="2:7" x14ac:dyDescent="0.2">
      <c r="B29" s="9">
        <v>2016</v>
      </c>
      <c r="C29" s="8">
        <v>2294</v>
      </c>
      <c r="D29" s="12">
        <f>'loss reserve and loss ratio'!J29</f>
        <v>67.131647776809061</v>
      </c>
      <c r="E29" s="15">
        <v>62.378438429621319</v>
      </c>
      <c r="F29" s="12">
        <f>D29-E29</f>
        <v>4.7532093471877417</v>
      </c>
      <c r="G29" s="9" t="s">
        <v>43</v>
      </c>
    </row>
    <row r="30" spans="2:7" x14ac:dyDescent="0.2">
      <c r="B30" s="9">
        <v>2017</v>
      </c>
      <c r="C30" s="8">
        <v>2313</v>
      </c>
      <c r="D30" s="12">
        <f>'loss reserve and loss ratio'!J30</f>
        <v>52.313013402507572</v>
      </c>
      <c r="E30" s="15">
        <v>62.378438429621319</v>
      </c>
      <c r="F30" s="12">
        <f>D30-E30</f>
        <v>-10.065425027113747</v>
      </c>
      <c r="G30" s="16" t="s">
        <v>44</v>
      </c>
    </row>
    <row r="31" spans="2:7" x14ac:dyDescent="0.2">
      <c r="B31" s="9">
        <v>2018</v>
      </c>
      <c r="C31" s="8">
        <v>2178</v>
      </c>
      <c r="D31" s="12">
        <f>'loss reserve and loss ratio'!J31</f>
        <v>70.135696727184552</v>
      </c>
      <c r="E31" s="15">
        <v>62.378438429621319</v>
      </c>
      <c r="F31" s="12">
        <f t="shared" ref="F31:F38" si="1">D31-E31</f>
        <v>7.7572582975632329</v>
      </c>
      <c r="G31" s="17" t="s">
        <v>45</v>
      </c>
    </row>
    <row r="32" spans="2:7" x14ac:dyDescent="0.2">
      <c r="B32" s="9">
        <v>2019</v>
      </c>
      <c r="C32" s="8">
        <v>9273</v>
      </c>
      <c r="D32" s="12">
        <f>'loss reserve and loss ratio'!J32</f>
        <v>66.888877367165406</v>
      </c>
      <c r="E32" s="15">
        <v>62.378438429621319</v>
      </c>
      <c r="F32" s="12">
        <f t="shared" si="1"/>
        <v>4.5104389375440874</v>
      </c>
      <c r="G32" s="9" t="s">
        <v>43</v>
      </c>
    </row>
    <row r="33" spans="2:7" x14ac:dyDescent="0.2">
      <c r="B33" s="9">
        <v>2020</v>
      </c>
      <c r="C33" s="8">
        <v>29472</v>
      </c>
      <c r="D33" s="12">
        <f>'loss reserve and loss ratio'!J33</f>
        <v>56.749814788152619</v>
      </c>
      <c r="E33" s="15">
        <v>62.378438429621319</v>
      </c>
      <c r="F33" s="12">
        <f t="shared" si="1"/>
        <v>-5.6286236414686996</v>
      </c>
      <c r="G33" s="16" t="s">
        <v>44</v>
      </c>
    </row>
    <row r="34" spans="2:7" x14ac:dyDescent="0.2">
      <c r="B34" s="9">
        <v>2021</v>
      </c>
      <c r="C34" s="8">
        <v>52476</v>
      </c>
      <c r="D34" s="12">
        <f>'loss reserve and loss ratio'!J34</f>
        <v>88.084839544188782</v>
      </c>
      <c r="E34" s="15">
        <v>62.378438429621319</v>
      </c>
      <c r="F34" s="12">
        <f t="shared" si="1"/>
        <v>25.706401114567463</v>
      </c>
      <c r="G34" s="17" t="s">
        <v>45</v>
      </c>
    </row>
    <row r="35" spans="2:7" x14ac:dyDescent="0.2">
      <c r="B35" s="9">
        <v>2022</v>
      </c>
      <c r="C35" s="8">
        <v>62905</v>
      </c>
      <c r="D35" s="12">
        <f>'loss reserve and loss ratio'!J35</f>
        <v>62.836772102065552</v>
      </c>
      <c r="E35" s="15">
        <v>62.378438429621319</v>
      </c>
      <c r="F35" s="12">
        <f t="shared" si="1"/>
        <v>0.45833367244423329</v>
      </c>
      <c r="G35" s="9" t="s">
        <v>43</v>
      </c>
    </row>
    <row r="36" spans="2:7" x14ac:dyDescent="0.2">
      <c r="B36" s="9">
        <v>2023</v>
      </c>
      <c r="C36" s="8">
        <v>65844</v>
      </c>
      <c r="D36" s="12">
        <f>'loss reserve and loss ratio'!J36</f>
        <v>59.329748133497681</v>
      </c>
      <c r="E36" s="15">
        <v>62.378438429621319</v>
      </c>
      <c r="F36" s="12">
        <f t="shared" si="1"/>
        <v>-3.0486902961236382</v>
      </c>
      <c r="G36" s="9" t="s">
        <v>43</v>
      </c>
    </row>
    <row r="37" spans="2:7" x14ac:dyDescent="0.2">
      <c r="B37" s="9">
        <v>2024</v>
      </c>
      <c r="C37" s="8">
        <v>66948</v>
      </c>
      <c r="D37" s="12">
        <f>'loss reserve and loss ratio'!J37</f>
        <v>39.141662490575669</v>
      </c>
      <c r="E37" s="15">
        <v>62.378438429621319</v>
      </c>
      <c r="F37" s="12">
        <f t="shared" si="1"/>
        <v>-23.23677593904565</v>
      </c>
      <c r="G37" s="16" t="s">
        <v>44</v>
      </c>
    </row>
    <row r="38" spans="2:7" x14ac:dyDescent="0.2">
      <c r="B38" s="9">
        <v>2025</v>
      </c>
      <c r="C38" s="8">
        <v>62106</v>
      </c>
      <c r="D38" s="12">
        <f>'loss reserve and loss ratio'!J38</f>
        <v>70.39918856388752</v>
      </c>
      <c r="E38" s="15">
        <v>62.378438429621319</v>
      </c>
      <c r="F38" s="12">
        <f t="shared" si="1"/>
        <v>8.0207501342662013</v>
      </c>
      <c r="G38" s="17" t="s">
        <v>45</v>
      </c>
    </row>
    <row r="46" spans="2:7" x14ac:dyDescent="0.2">
      <c r="B46" s="9" t="s">
        <v>30</v>
      </c>
      <c r="C46" s="9" t="s">
        <v>36</v>
      </c>
      <c r="D46" s="9" t="s">
        <v>39</v>
      </c>
      <c r="E46" s="9" t="s">
        <v>40</v>
      </c>
      <c r="F46" s="9" t="s">
        <v>41</v>
      </c>
      <c r="G46" s="9" t="s">
        <v>42</v>
      </c>
    </row>
    <row r="47" spans="2:7" x14ac:dyDescent="0.2">
      <c r="B47" s="9">
        <v>2016</v>
      </c>
    </row>
    <row r="48" spans="2:7" x14ac:dyDescent="0.2">
      <c r="B48" s="9">
        <v>2017</v>
      </c>
    </row>
    <row r="49" spans="2:7" x14ac:dyDescent="0.2">
      <c r="B49" s="9">
        <v>2018</v>
      </c>
    </row>
    <row r="50" spans="2:7" x14ac:dyDescent="0.2">
      <c r="B50" s="9">
        <v>2019</v>
      </c>
      <c r="D50" s="7" t="s">
        <v>7</v>
      </c>
    </row>
    <row r="51" spans="2:7" x14ac:dyDescent="0.2">
      <c r="B51" s="9">
        <v>2020</v>
      </c>
    </row>
    <row r="52" spans="2:7" x14ac:dyDescent="0.2">
      <c r="B52" s="9">
        <v>2021</v>
      </c>
    </row>
    <row r="53" spans="2:7" x14ac:dyDescent="0.2">
      <c r="B53" s="9">
        <v>2022</v>
      </c>
    </row>
    <row r="54" spans="2:7" x14ac:dyDescent="0.2">
      <c r="B54" s="9">
        <v>2023</v>
      </c>
    </row>
    <row r="55" spans="2:7" x14ac:dyDescent="0.2">
      <c r="B55" s="9">
        <v>2024</v>
      </c>
    </row>
    <row r="56" spans="2:7" x14ac:dyDescent="0.2">
      <c r="B56" s="9">
        <v>2025</v>
      </c>
    </row>
    <row r="64" spans="2:7" x14ac:dyDescent="0.2">
      <c r="B64" s="9" t="s">
        <v>30</v>
      </c>
      <c r="C64" s="9" t="s">
        <v>36</v>
      </c>
      <c r="D64" s="9" t="s">
        <v>39</v>
      </c>
      <c r="E64" s="9" t="s">
        <v>40</v>
      </c>
      <c r="F64" s="9" t="s">
        <v>41</v>
      </c>
      <c r="G64" s="9" t="s">
        <v>42</v>
      </c>
    </row>
    <row r="65" spans="2:7" x14ac:dyDescent="0.2">
      <c r="B65" s="9">
        <v>2016</v>
      </c>
      <c r="C65" s="8">
        <v>377433</v>
      </c>
      <c r="D65" s="12">
        <f>'loss reserve and loss ratio'!J65</f>
        <v>80.386717642601468</v>
      </c>
      <c r="E65" s="15">
        <v>85.935342935843877</v>
      </c>
      <c r="F65" s="12">
        <f>D65-E65</f>
        <v>-5.5486252932424094</v>
      </c>
      <c r="G65" s="16" t="s">
        <v>44</v>
      </c>
    </row>
    <row r="66" spans="2:7" x14ac:dyDescent="0.2">
      <c r="B66" s="9">
        <v>2017</v>
      </c>
      <c r="C66" s="8">
        <v>351006</v>
      </c>
      <c r="D66" s="12">
        <f>'loss reserve and loss ratio'!J66</f>
        <v>83.884784333602909</v>
      </c>
      <c r="E66" s="15">
        <v>85.935342935843877</v>
      </c>
      <c r="F66" s="12">
        <f>D66-E66</f>
        <v>-2.0505586022409688</v>
      </c>
      <c r="G66" s="9" t="s">
        <v>43</v>
      </c>
    </row>
    <row r="67" spans="2:7" x14ac:dyDescent="0.2">
      <c r="B67" s="9">
        <v>2018</v>
      </c>
      <c r="C67" s="8">
        <v>331597</v>
      </c>
      <c r="D67" s="12">
        <f>'loss reserve and loss ratio'!J67</f>
        <v>87.776553454508857</v>
      </c>
      <c r="E67" s="15">
        <v>85.935342935843877</v>
      </c>
      <c r="F67" s="12">
        <f t="shared" ref="F67:F74" si="2">D67-E67</f>
        <v>1.8412105186649796</v>
      </c>
      <c r="G67" s="9" t="s">
        <v>43</v>
      </c>
    </row>
    <row r="68" spans="2:7" x14ac:dyDescent="0.2">
      <c r="B68" s="9">
        <v>2019</v>
      </c>
      <c r="C68" s="8">
        <v>318366</v>
      </c>
      <c r="D68" s="12">
        <f>'loss reserve and loss ratio'!J68</f>
        <v>88.429866120002146</v>
      </c>
      <c r="E68" s="15">
        <v>85.935342935843877</v>
      </c>
      <c r="F68" s="12">
        <f t="shared" si="2"/>
        <v>2.4945231841582682</v>
      </c>
      <c r="G68" s="9" t="s">
        <v>43</v>
      </c>
    </row>
    <row r="69" spans="2:7" x14ac:dyDescent="0.2">
      <c r="B69" s="9">
        <v>2020</v>
      </c>
      <c r="C69" s="8">
        <v>347014</v>
      </c>
      <c r="D69" s="12">
        <f>'loss reserve and loss ratio'!J69</f>
        <v>74.74661983329689</v>
      </c>
      <c r="E69" s="15">
        <v>85.935342935843877</v>
      </c>
      <c r="F69" s="12">
        <f t="shared" si="2"/>
        <v>-11.188723102546987</v>
      </c>
      <c r="G69" s="16" t="s">
        <v>44</v>
      </c>
    </row>
    <row r="70" spans="2:7" x14ac:dyDescent="0.2">
      <c r="B70" s="9">
        <v>2021</v>
      </c>
      <c r="C70" s="8">
        <v>377415</v>
      </c>
      <c r="D70" s="12">
        <f>'loss reserve and loss ratio'!J70</f>
        <v>90.556423275609163</v>
      </c>
      <c r="E70" s="15">
        <v>85.935342935843877</v>
      </c>
      <c r="F70" s="12">
        <f t="shared" si="2"/>
        <v>4.6210803397652853</v>
      </c>
      <c r="G70" s="9" t="s">
        <v>43</v>
      </c>
    </row>
    <row r="71" spans="2:7" x14ac:dyDescent="0.2">
      <c r="B71" s="9">
        <v>2022</v>
      </c>
      <c r="C71" s="8">
        <v>409229</v>
      </c>
      <c r="D71" s="12">
        <f>'loss reserve and loss ratio'!J71</f>
        <v>100.46531701181543</v>
      </c>
      <c r="E71" s="15">
        <v>85.935342935843877</v>
      </c>
      <c r="F71" s="12">
        <f t="shared" si="2"/>
        <v>14.529974075971552</v>
      </c>
      <c r="G71" s="17" t="s">
        <v>45</v>
      </c>
    </row>
    <row r="72" spans="2:7" x14ac:dyDescent="0.2">
      <c r="B72" s="9">
        <v>2023</v>
      </c>
      <c r="C72" s="8">
        <v>436803</v>
      </c>
      <c r="D72" s="12">
        <f>'loss reserve and loss ratio'!J72</f>
        <v>106.62472634813113</v>
      </c>
      <c r="E72" s="15">
        <v>85.935342935843877</v>
      </c>
      <c r="F72" s="12">
        <f t="shared" si="2"/>
        <v>20.689383412287256</v>
      </c>
      <c r="G72" s="17" t="s">
        <v>45</v>
      </c>
    </row>
    <row r="73" spans="2:7" x14ac:dyDescent="0.2">
      <c r="B73" s="9">
        <v>2024</v>
      </c>
      <c r="C73" s="8">
        <v>479270</v>
      </c>
      <c r="D73" s="12">
        <f>'loss reserve and loss ratio'!J73</f>
        <v>88.177805887029052</v>
      </c>
      <c r="E73" s="15">
        <v>85.935342935843877</v>
      </c>
      <c r="F73" s="12">
        <f t="shared" si="2"/>
        <v>2.2424629511851748</v>
      </c>
      <c r="G73" s="9" t="s">
        <v>43</v>
      </c>
    </row>
    <row r="74" spans="2:7" x14ac:dyDescent="0.2">
      <c r="B74" s="9">
        <v>2025</v>
      </c>
      <c r="C74" s="8">
        <v>467554</v>
      </c>
      <c r="D74" s="12">
        <f>'loss reserve and loss ratio'!J74</f>
        <v>59.178739870795347</v>
      </c>
      <c r="E74" s="15">
        <v>85.935342935843877</v>
      </c>
      <c r="F74" s="12">
        <f t="shared" si="2"/>
        <v>-26.75660306504853</v>
      </c>
      <c r="G74" s="16" t="s">
        <v>44</v>
      </c>
    </row>
    <row r="82" spans="2:7" x14ac:dyDescent="0.2">
      <c r="B82" s="9" t="s">
        <v>30</v>
      </c>
      <c r="C82" s="9" t="s">
        <v>36</v>
      </c>
      <c r="D82" s="9" t="s">
        <v>39</v>
      </c>
      <c r="E82" s="9" t="s">
        <v>40</v>
      </c>
      <c r="F82" s="9" t="s">
        <v>41</v>
      </c>
      <c r="G82" s="9" t="s">
        <v>42</v>
      </c>
    </row>
    <row r="83" spans="2:7" x14ac:dyDescent="0.2">
      <c r="B83" s="9">
        <v>2016</v>
      </c>
      <c r="C83" s="8">
        <v>1001313</v>
      </c>
      <c r="D83" s="12">
        <f>'loss reserve and loss ratio'!J83</f>
        <v>42.794910282798689</v>
      </c>
      <c r="E83" s="12">
        <v>45.336059590033187</v>
      </c>
      <c r="F83" s="12">
        <f>D83-E83</f>
        <v>-2.5411493072344982</v>
      </c>
      <c r="G83" s="9" t="s">
        <v>43</v>
      </c>
    </row>
    <row r="84" spans="2:7" x14ac:dyDescent="0.2">
      <c r="B84" s="9">
        <v>2017</v>
      </c>
      <c r="C84" s="8">
        <v>979273</v>
      </c>
      <c r="D84" s="12">
        <f>'loss reserve and loss ratio'!J84</f>
        <v>44.700902810471852</v>
      </c>
      <c r="E84" s="12">
        <v>45.336059590033187</v>
      </c>
      <c r="F84" s="12">
        <f>D84-E84</f>
        <v>-0.63515677956133487</v>
      </c>
      <c r="G84" s="9" t="s">
        <v>43</v>
      </c>
    </row>
    <row r="85" spans="2:7" x14ac:dyDescent="0.2">
      <c r="B85" s="9">
        <v>2018</v>
      </c>
      <c r="C85" s="8">
        <v>914331</v>
      </c>
      <c r="D85" s="12">
        <f>'loss reserve and loss ratio'!J85</f>
        <v>48.91519772125428</v>
      </c>
      <c r="E85" s="12">
        <v>45.336059590033187</v>
      </c>
      <c r="F85" s="12">
        <f t="shared" ref="F85:F92" si="3">D85-E85</f>
        <v>3.579138131221093</v>
      </c>
      <c r="G85" s="9" t="s">
        <v>43</v>
      </c>
    </row>
    <row r="86" spans="2:7" x14ac:dyDescent="0.2">
      <c r="B86" s="9">
        <v>2019</v>
      </c>
      <c r="C86" s="8">
        <v>843904</v>
      </c>
      <c r="D86" s="12">
        <f>'loss reserve and loss ratio'!J86</f>
        <v>49.385038512599188</v>
      </c>
      <c r="E86" s="12">
        <v>45.336059590033187</v>
      </c>
      <c r="F86" s="12">
        <f t="shared" si="3"/>
        <v>4.0489789225660004</v>
      </c>
      <c r="G86" s="9" t="s">
        <v>43</v>
      </c>
    </row>
    <row r="87" spans="2:7" x14ac:dyDescent="0.2">
      <c r="B87" s="9">
        <v>2020</v>
      </c>
      <c r="C87" s="8">
        <v>733892</v>
      </c>
      <c r="D87" s="12">
        <f>'loss reserve and loss ratio'!J87</f>
        <v>37.54335756486509</v>
      </c>
      <c r="E87" s="12">
        <v>45.336059590033187</v>
      </c>
      <c r="F87" s="12">
        <f t="shared" si="3"/>
        <v>-7.7927020251680972</v>
      </c>
      <c r="G87" s="16" t="s">
        <v>44</v>
      </c>
    </row>
    <row r="88" spans="2:7" x14ac:dyDescent="0.2">
      <c r="B88" s="9">
        <v>2021</v>
      </c>
      <c r="C88" s="8">
        <v>649529</v>
      </c>
      <c r="D88" s="12">
        <f>'loss reserve and loss ratio'!J88</f>
        <v>48.926132380449076</v>
      </c>
      <c r="E88" s="12">
        <v>45.336059590033187</v>
      </c>
      <c r="F88" s="12">
        <f t="shared" si="3"/>
        <v>3.5900727904158884</v>
      </c>
      <c r="G88" s="9" t="s">
        <v>43</v>
      </c>
    </row>
    <row r="89" spans="2:7" x14ac:dyDescent="0.2">
      <c r="B89" s="9">
        <v>2022</v>
      </c>
      <c r="C89" s="8">
        <v>719032</v>
      </c>
      <c r="D89" s="12">
        <f>'loss reserve and loss ratio'!J89</f>
        <v>42.943158867618578</v>
      </c>
      <c r="E89" s="12">
        <v>45.336059590033187</v>
      </c>
      <c r="F89" s="12">
        <f t="shared" si="3"/>
        <v>-2.392900722414609</v>
      </c>
      <c r="G89" s="9" t="s">
        <v>43</v>
      </c>
    </row>
    <row r="90" spans="2:7" x14ac:dyDescent="0.2">
      <c r="B90" s="9">
        <v>2023</v>
      </c>
      <c r="C90" s="8">
        <v>780245</v>
      </c>
      <c r="D90" s="12">
        <f>'loss reserve and loss ratio'!J90</f>
        <v>43.062976406498777</v>
      </c>
      <c r="E90" s="12">
        <v>45.336059590033187</v>
      </c>
      <c r="F90" s="12">
        <f t="shared" si="3"/>
        <v>-2.2730831835344105</v>
      </c>
      <c r="G90" s="9" t="s">
        <v>43</v>
      </c>
    </row>
    <row r="91" spans="2:7" x14ac:dyDescent="0.2">
      <c r="B91" s="9">
        <v>2024</v>
      </c>
      <c r="C91" s="8">
        <v>759921</v>
      </c>
      <c r="D91" s="12">
        <f>'loss reserve and loss ratio'!J91</f>
        <v>49.528842861788831</v>
      </c>
      <c r="E91" s="12">
        <v>45.336059590033187</v>
      </c>
      <c r="F91" s="12">
        <f t="shared" si="3"/>
        <v>4.1927832717556441</v>
      </c>
      <c r="G91" s="9" t="s">
        <v>43</v>
      </c>
    </row>
    <row r="92" spans="2:7" x14ac:dyDescent="0.2">
      <c r="B92" s="9">
        <v>2025</v>
      </c>
      <c r="C92" s="8">
        <v>732259</v>
      </c>
      <c r="D92" s="12">
        <f>'loss reserve and loss ratio'!J92</f>
        <v>45.57109456430922</v>
      </c>
      <c r="E92" s="12">
        <v>45.336059590033187</v>
      </c>
      <c r="F92" s="12">
        <f t="shared" si="3"/>
        <v>0.23503497427603293</v>
      </c>
      <c r="G92" s="9" t="s">
        <v>43</v>
      </c>
    </row>
    <row r="100" spans="2:7" x14ac:dyDescent="0.2">
      <c r="B100" s="9" t="s">
        <v>30</v>
      </c>
      <c r="C100" s="9" t="s">
        <v>36</v>
      </c>
      <c r="D100" s="9" t="s">
        <v>39</v>
      </c>
      <c r="E100" s="9" t="s">
        <v>40</v>
      </c>
      <c r="F100" s="9" t="s">
        <v>41</v>
      </c>
      <c r="G100" s="9" t="s">
        <v>42</v>
      </c>
    </row>
    <row r="101" spans="2:7" x14ac:dyDescent="0.2">
      <c r="B101" s="9">
        <v>2016</v>
      </c>
      <c r="C101" s="8">
        <v>300738</v>
      </c>
      <c r="D101" s="12">
        <f>'loss reserve and loss ratio'!J101</f>
        <v>84.191887955629156</v>
      </c>
      <c r="E101" s="15">
        <v>73.423215928317461</v>
      </c>
      <c r="F101" s="12">
        <f>D101-E101</f>
        <v>10.768672027311695</v>
      </c>
      <c r="G101" s="17" t="s">
        <v>45</v>
      </c>
    </row>
    <row r="102" spans="2:7" x14ac:dyDescent="0.2">
      <c r="B102" s="9">
        <v>2017</v>
      </c>
      <c r="C102" s="8">
        <v>266435</v>
      </c>
      <c r="D102" s="12">
        <f>'loss reserve and loss ratio'!J102</f>
        <v>100.84641991887831</v>
      </c>
      <c r="E102" s="15">
        <v>73.423215928317461</v>
      </c>
      <c r="F102" s="12">
        <f>D102-E102</f>
        <v>27.42320399056085</v>
      </c>
      <c r="G102" s="17" t="s">
        <v>45</v>
      </c>
    </row>
    <row r="103" spans="2:7" x14ac:dyDescent="0.2">
      <c r="B103" s="9">
        <v>2018</v>
      </c>
      <c r="C103" s="8">
        <v>253902</v>
      </c>
      <c r="D103" s="12">
        <f>'loss reserve and loss ratio'!J103</f>
        <v>89.271047644301404</v>
      </c>
      <c r="E103" s="15">
        <v>73.423215928317461</v>
      </c>
      <c r="F103" s="12">
        <f t="shared" ref="F103:F110" si="4">D103-E103</f>
        <v>15.847831715983943</v>
      </c>
      <c r="G103" s="17" t="s">
        <v>45</v>
      </c>
    </row>
    <row r="104" spans="2:7" x14ac:dyDescent="0.2">
      <c r="B104" s="9">
        <v>2019</v>
      </c>
      <c r="C104" s="8">
        <v>200455</v>
      </c>
      <c r="D104" s="12">
        <f>'loss reserve and loss ratio'!J104</f>
        <v>88.131379917237965</v>
      </c>
      <c r="E104" s="15">
        <v>73.423215928317461</v>
      </c>
      <c r="F104" s="12">
        <f t="shared" si="4"/>
        <v>14.708163988920504</v>
      </c>
      <c r="G104" s="17" t="s">
        <v>45</v>
      </c>
    </row>
    <row r="105" spans="2:7" x14ac:dyDescent="0.2">
      <c r="B105" s="9">
        <v>2020</v>
      </c>
      <c r="C105" s="8">
        <v>252714</v>
      </c>
      <c r="D105" s="12">
        <f>'loss reserve and loss ratio'!J105</f>
        <v>71.414593933915981</v>
      </c>
      <c r="E105" s="15">
        <v>73.423215928317461</v>
      </c>
      <c r="F105" s="12">
        <f t="shared" si="4"/>
        <v>-2.00862199440148</v>
      </c>
      <c r="G105" s="9" t="s">
        <v>43</v>
      </c>
    </row>
    <row r="106" spans="2:7" x14ac:dyDescent="0.2">
      <c r="B106" s="9">
        <v>2021</v>
      </c>
      <c r="C106" s="8">
        <v>271520</v>
      </c>
      <c r="D106" s="12">
        <f>'loss reserve and loss ratio'!J106</f>
        <v>78.951423113014556</v>
      </c>
      <c r="E106" s="15">
        <v>73.423215928317461</v>
      </c>
      <c r="F106" s="12">
        <f t="shared" si="4"/>
        <v>5.528207184697095</v>
      </c>
      <c r="G106" s="17" t="s">
        <v>45</v>
      </c>
    </row>
    <row r="107" spans="2:7" x14ac:dyDescent="0.2">
      <c r="B107" s="9">
        <v>2022</v>
      </c>
      <c r="C107" s="8">
        <v>253449</v>
      </c>
      <c r="D107" s="12">
        <f>'loss reserve and loss ratio'!J107</f>
        <v>70.578049282801999</v>
      </c>
      <c r="E107" s="15">
        <v>73.423215928317461</v>
      </c>
      <c r="F107" s="12">
        <f t="shared" si="4"/>
        <v>-2.8451666455154623</v>
      </c>
      <c r="G107" s="9" t="s">
        <v>43</v>
      </c>
    </row>
    <row r="108" spans="2:7" x14ac:dyDescent="0.2">
      <c r="B108" s="9">
        <v>2023</v>
      </c>
      <c r="C108" s="8">
        <v>273546</v>
      </c>
      <c r="D108" s="12">
        <f>'loss reserve and loss ratio'!J108</f>
        <v>50.986020437293092</v>
      </c>
      <c r="E108" s="15">
        <v>73.423215928317461</v>
      </c>
      <c r="F108" s="12">
        <f t="shared" si="4"/>
        <v>-22.437195491024369</v>
      </c>
      <c r="G108" s="16" t="s">
        <v>44</v>
      </c>
    </row>
    <row r="109" spans="2:7" x14ac:dyDescent="0.2">
      <c r="B109" s="9">
        <v>2024</v>
      </c>
      <c r="C109" s="8">
        <v>285029</v>
      </c>
      <c r="D109" s="12">
        <f>'loss reserve and loss ratio'!J109</f>
        <v>54.168808170535733</v>
      </c>
      <c r="E109" s="15">
        <v>73.423215928317461</v>
      </c>
      <c r="F109" s="12">
        <f t="shared" si="4"/>
        <v>-19.254407757781728</v>
      </c>
      <c r="G109" s="16" t="s">
        <v>44</v>
      </c>
    </row>
    <row r="110" spans="2:7" x14ac:dyDescent="0.2">
      <c r="B110" s="9">
        <v>2025</v>
      </c>
      <c r="C110" s="8">
        <v>298064</v>
      </c>
      <c r="D110" s="12">
        <f>'loss reserve and loss ratio'!J110</f>
        <v>52.743734231428327</v>
      </c>
      <c r="E110" s="15">
        <v>73.423215928317461</v>
      </c>
      <c r="F110" s="12">
        <f t="shared" si="4"/>
        <v>-20.679481696889134</v>
      </c>
      <c r="G110" s="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loss development</vt:lpstr>
      <vt:lpstr>year to ultimate LDF</vt:lpstr>
      <vt:lpstr>loss reserve and loss ratio</vt:lpstr>
      <vt:lpstr>rate adequacy verdict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 Kandel</dc:creator>
  <cp:lastModifiedBy>Pushkar  Kandel</cp:lastModifiedBy>
  <dcterms:created xsi:type="dcterms:W3CDTF">2026-07-26T15:41:41Z</dcterms:created>
  <dcterms:modified xsi:type="dcterms:W3CDTF">2026-07-26T16:31:57Z</dcterms:modified>
</cp:coreProperties>
</file>