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shkarkandel/Documents/Jobs/"/>
    </mc:Choice>
  </mc:AlternateContent>
  <xr:revisionPtr revIDLastSave="0" documentId="13_ncr:1_{44D46F98-4FDC-BC4C-8036-EACA82516FBD}" xr6:coauthVersionLast="47" xr6:coauthVersionMax="47" xr10:uidLastSave="{00000000-0000-0000-0000-000000000000}"/>
  <bookViews>
    <workbookView xWindow="0" yWindow="0" windowWidth="33600" windowHeight="21000" activeTab="3" xr2:uid="{0FA6BA79-D98A-BF48-8D97-BCF3401095EA}"/>
  </bookViews>
  <sheets>
    <sheet name="Loss Development" sheetId="1" r:id="rId1"/>
    <sheet name="year to ultimate LDF" sheetId="2" r:id="rId2"/>
    <sheet name="loss reserve and loss ratio" sheetId="3" r:id="rId3"/>
    <sheet name="rate adequacy verdic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" i="3" l="1"/>
  <c r="C110" i="5"/>
  <c r="C109" i="5"/>
  <c r="C108" i="5"/>
  <c r="C107" i="5"/>
  <c r="C106" i="5"/>
  <c r="C105" i="5"/>
  <c r="C104" i="5"/>
  <c r="C103" i="5"/>
  <c r="C102" i="5"/>
  <c r="C101" i="5"/>
  <c r="C92" i="5"/>
  <c r="C91" i="5"/>
  <c r="C90" i="5"/>
  <c r="C89" i="5"/>
  <c r="C88" i="5"/>
  <c r="C87" i="5"/>
  <c r="C86" i="5"/>
  <c r="C85" i="5"/>
  <c r="C84" i="5"/>
  <c r="C83" i="5"/>
  <c r="C74" i="5"/>
  <c r="C73" i="5"/>
  <c r="C72" i="5"/>
  <c r="C71" i="5"/>
  <c r="C70" i="5"/>
  <c r="C69" i="5"/>
  <c r="C68" i="5"/>
  <c r="C67" i="5"/>
  <c r="C66" i="5"/>
  <c r="C65" i="5"/>
  <c r="C56" i="5"/>
  <c r="C55" i="5"/>
  <c r="C54" i="5"/>
  <c r="C53" i="5"/>
  <c r="C52" i="5"/>
  <c r="C51" i="5"/>
  <c r="C50" i="5"/>
  <c r="C49" i="5"/>
  <c r="C48" i="5"/>
  <c r="C47" i="5"/>
  <c r="C38" i="5"/>
  <c r="C37" i="5"/>
  <c r="C36" i="5"/>
  <c r="C35" i="5"/>
  <c r="C34" i="5"/>
  <c r="C33" i="5"/>
  <c r="C32" i="5"/>
  <c r="C31" i="5"/>
  <c r="C30" i="5"/>
  <c r="C29" i="5"/>
  <c r="C18" i="5"/>
  <c r="C17" i="5"/>
  <c r="C16" i="5"/>
  <c r="C15" i="5"/>
  <c r="C14" i="5"/>
  <c r="C13" i="5"/>
  <c r="C12" i="5"/>
  <c r="C11" i="5"/>
  <c r="C10" i="5"/>
  <c r="C9" i="5"/>
  <c r="I19" i="3"/>
  <c r="I39" i="3"/>
  <c r="I57" i="3"/>
  <c r="I111" i="3"/>
  <c r="I93" i="3"/>
  <c r="I75" i="3"/>
  <c r="F101" i="3"/>
  <c r="F83" i="3"/>
  <c r="F65" i="3"/>
  <c r="F47" i="3"/>
  <c r="F29" i="3"/>
  <c r="F9" i="3"/>
  <c r="D110" i="3"/>
  <c r="D109" i="3"/>
  <c r="D108" i="3"/>
  <c r="D107" i="3"/>
  <c r="D106" i="3"/>
  <c r="D105" i="3"/>
  <c r="D104" i="3"/>
  <c r="D103" i="3"/>
  <c r="D102" i="3"/>
  <c r="D101" i="3"/>
  <c r="G101" i="3" s="1"/>
  <c r="D92" i="3"/>
  <c r="D91" i="3"/>
  <c r="D90" i="3"/>
  <c r="D89" i="3"/>
  <c r="D88" i="3"/>
  <c r="D87" i="3"/>
  <c r="D86" i="3"/>
  <c r="D85" i="3"/>
  <c r="D84" i="3"/>
  <c r="D83" i="3"/>
  <c r="G83" i="3" s="1"/>
  <c r="D74" i="3"/>
  <c r="D73" i="3"/>
  <c r="D72" i="3"/>
  <c r="D71" i="3"/>
  <c r="D70" i="3"/>
  <c r="D69" i="3"/>
  <c r="D68" i="3"/>
  <c r="D67" i="3"/>
  <c r="D66" i="3"/>
  <c r="D65" i="3"/>
  <c r="G65" i="3" s="1"/>
  <c r="D56" i="3"/>
  <c r="D55" i="3"/>
  <c r="D54" i="3"/>
  <c r="D53" i="3"/>
  <c r="D52" i="3"/>
  <c r="D51" i="3"/>
  <c r="D50" i="3"/>
  <c r="D49" i="3"/>
  <c r="D48" i="3"/>
  <c r="D47" i="3"/>
  <c r="G47" i="3" s="1"/>
  <c r="D38" i="3"/>
  <c r="D37" i="3"/>
  <c r="D36" i="3"/>
  <c r="D35" i="3"/>
  <c r="D34" i="3"/>
  <c r="D33" i="3"/>
  <c r="D32" i="3"/>
  <c r="D31" i="3"/>
  <c r="D30" i="3"/>
  <c r="D29" i="3"/>
  <c r="G29" i="3" s="1"/>
  <c r="D18" i="3"/>
  <c r="D17" i="3"/>
  <c r="D16" i="3"/>
  <c r="D15" i="3"/>
  <c r="D14" i="3"/>
  <c r="D12" i="3"/>
  <c r="D13" i="3"/>
  <c r="D11" i="3"/>
  <c r="D10" i="3"/>
  <c r="D9" i="3"/>
  <c r="G9" i="3" s="1"/>
  <c r="J47" i="3" l="1"/>
  <c r="D47" i="5" s="1"/>
  <c r="F47" i="5" s="1"/>
  <c r="H47" i="3"/>
  <c r="H65" i="3"/>
  <c r="J65" i="3"/>
  <c r="D65" i="5" s="1"/>
  <c r="F65" i="5" s="1"/>
  <c r="J9" i="3"/>
  <c r="D9" i="5" s="1"/>
  <c r="H83" i="3"/>
  <c r="J83" i="3"/>
  <c r="D83" i="5" s="1"/>
  <c r="F83" i="5" s="1"/>
  <c r="J29" i="3"/>
  <c r="D29" i="5" s="1"/>
  <c r="F29" i="5" s="1"/>
  <c r="H29" i="3"/>
  <c r="H101" i="3"/>
  <c r="J101" i="3"/>
  <c r="D101" i="5" s="1"/>
  <c r="F101" i="5" s="1"/>
  <c r="D109" i="2"/>
  <c r="F109" i="2" s="1"/>
  <c r="F102" i="3" s="1"/>
  <c r="G102" i="3" s="1"/>
  <c r="D108" i="2"/>
  <c r="F108" i="2" s="1"/>
  <c r="F103" i="3" s="1"/>
  <c r="G103" i="3" s="1"/>
  <c r="D107" i="2"/>
  <c r="D106" i="2"/>
  <c r="D105" i="2"/>
  <c r="F105" i="2" s="1"/>
  <c r="F106" i="3" s="1"/>
  <c r="G106" i="3" s="1"/>
  <c r="D104" i="2"/>
  <c r="D103" i="2"/>
  <c r="D102" i="2"/>
  <c r="D101" i="2"/>
  <c r="D91" i="2"/>
  <c r="F91" i="2" s="1"/>
  <c r="F84" i="3" s="1"/>
  <c r="G84" i="3" s="1"/>
  <c r="D90" i="2"/>
  <c r="D89" i="2"/>
  <c r="D88" i="2"/>
  <c r="D87" i="2"/>
  <c r="D86" i="2"/>
  <c r="D85" i="2"/>
  <c r="D84" i="2"/>
  <c r="D83" i="2"/>
  <c r="D73" i="2"/>
  <c r="F73" i="2" s="1"/>
  <c r="F66" i="3" s="1"/>
  <c r="G66" i="3" s="1"/>
  <c r="D72" i="2"/>
  <c r="F72" i="2" s="1"/>
  <c r="F67" i="3" s="1"/>
  <c r="G67" i="3" s="1"/>
  <c r="D71" i="2"/>
  <c r="F71" i="2" s="1"/>
  <c r="F68" i="3" s="1"/>
  <c r="G68" i="3" s="1"/>
  <c r="D70" i="2"/>
  <c r="F70" i="2" s="1"/>
  <c r="F69" i="3" s="1"/>
  <c r="G69" i="3" s="1"/>
  <c r="D69" i="2"/>
  <c r="D68" i="2"/>
  <c r="D67" i="2"/>
  <c r="D66" i="2"/>
  <c r="D65" i="2"/>
  <c r="D55" i="2"/>
  <c r="F55" i="2" s="1"/>
  <c r="F48" i="3" s="1"/>
  <c r="G48" i="3" s="1"/>
  <c r="D54" i="2"/>
  <c r="D53" i="2"/>
  <c r="D52" i="2"/>
  <c r="F52" i="2" s="1"/>
  <c r="F51" i="3" s="1"/>
  <c r="G51" i="3" s="1"/>
  <c r="D51" i="2"/>
  <c r="D50" i="2"/>
  <c r="D49" i="2"/>
  <c r="D48" i="2"/>
  <c r="D47" i="2"/>
  <c r="D33" i="2"/>
  <c r="F33" i="2" s="1"/>
  <c r="F34" i="3" s="1"/>
  <c r="G34" i="3" s="1"/>
  <c r="D13" i="2"/>
  <c r="D29" i="2"/>
  <c r="D37" i="2"/>
  <c r="F37" i="2" s="1"/>
  <c r="F30" i="3" s="1"/>
  <c r="G30" i="3" s="1"/>
  <c r="D36" i="2"/>
  <c r="F36" i="2" s="1"/>
  <c r="F31" i="3" s="1"/>
  <c r="G31" i="3" s="1"/>
  <c r="D35" i="2"/>
  <c r="F35" i="2" s="1"/>
  <c r="F32" i="3" s="1"/>
  <c r="G32" i="3" s="1"/>
  <c r="D34" i="2"/>
  <c r="D32" i="2"/>
  <c r="D31" i="2"/>
  <c r="D30" i="2"/>
  <c r="F29" i="2"/>
  <c r="F38" i="3" s="1"/>
  <c r="G38" i="3" s="1"/>
  <c r="D17" i="2"/>
  <c r="F17" i="2" s="1"/>
  <c r="F10" i="3" s="1"/>
  <c r="G10" i="3" s="1"/>
  <c r="D16" i="2"/>
  <c r="F15" i="2" s="1"/>
  <c r="F12" i="3" s="1"/>
  <c r="G12" i="3" s="1"/>
  <c r="D15" i="2"/>
  <c r="D14" i="2"/>
  <c r="D12" i="2"/>
  <c r="D11" i="2"/>
  <c r="D10" i="2"/>
  <c r="F10" i="2" s="1"/>
  <c r="F17" i="3" s="1"/>
  <c r="G17" i="3" s="1"/>
  <c r="D9" i="2"/>
  <c r="F9" i="2" s="1"/>
  <c r="F18" i="3" s="1"/>
  <c r="G18" i="3" s="1"/>
  <c r="H67" i="3" l="1"/>
  <c r="J67" i="3"/>
  <c r="D67" i="5" s="1"/>
  <c r="F67" i="5" s="1"/>
  <c r="J12" i="3"/>
  <c r="D12" i="5" s="1"/>
  <c r="F12" i="5" s="1"/>
  <c r="H12" i="3"/>
  <c r="H102" i="3"/>
  <c r="J102" i="3"/>
  <c r="D102" i="5" s="1"/>
  <c r="F102" i="5" s="1"/>
  <c r="H51" i="3"/>
  <c r="J51" i="3"/>
  <c r="D51" i="5" s="1"/>
  <c r="F51" i="5" s="1"/>
  <c r="J32" i="3"/>
  <c r="D32" i="5" s="1"/>
  <c r="F32" i="5" s="1"/>
  <c r="H32" i="3"/>
  <c r="H103" i="3"/>
  <c r="J103" i="3"/>
  <c r="D103" i="5" s="1"/>
  <c r="F103" i="5" s="1"/>
  <c r="J31" i="3"/>
  <c r="D31" i="5" s="1"/>
  <c r="F31" i="5" s="1"/>
  <c r="H31" i="3"/>
  <c r="J18" i="3"/>
  <c r="D18" i="5" s="1"/>
  <c r="F18" i="5" s="1"/>
  <c r="H18" i="3"/>
  <c r="J38" i="3"/>
  <c r="D38" i="5" s="1"/>
  <c r="F38" i="5" s="1"/>
  <c r="H38" i="3"/>
  <c r="J69" i="3"/>
  <c r="D69" i="5" s="1"/>
  <c r="F69" i="5" s="1"/>
  <c r="H69" i="3"/>
  <c r="H48" i="3"/>
  <c r="J48" i="3"/>
  <c r="D48" i="5" s="1"/>
  <c r="F48" i="5" s="1"/>
  <c r="H66" i="3"/>
  <c r="J66" i="3"/>
  <c r="D66" i="5" s="1"/>
  <c r="F66" i="5" s="1"/>
  <c r="J84" i="3"/>
  <c r="D84" i="5" s="1"/>
  <c r="F84" i="5" s="1"/>
  <c r="H84" i="3"/>
  <c r="J10" i="3"/>
  <c r="D10" i="5" s="1"/>
  <c r="F10" i="5" s="1"/>
  <c r="H10" i="3"/>
  <c r="J30" i="3"/>
  <c r="D30" i="5" s="1"/>
  <c r="F30" i="5" s="1"/>
  <c r="H30" i="3"/>
  <c r="H17" i="3"/>
  <c r="J17" i="3"/>
  <c r="D17" i="5" s="1"/>
  <c r="F17" i="5" s="1"/>
  <c r="H34" i="3"/>
  <c r="J34" i="3"/>
  <c r="D34" i="5" s="1"/>
  <c r="F34" i="5" s="1"/>
  <c r="J68" i="3"/>
  <c r="D68" i="5" s="1"/>
  <c r="F68" i="5" s="1"/>
  <c r="H68" i="3"/>
  <c r="H106" i="3"/>
  <c r="J106" i="3"/>
  <c r="D106" i="5" s="1"/>
  <c r="F106" i="5" s="1"/>
  <c r="F106" i="2"/>
  <c r="F105" i="3" s="1"/>
  <c r="G105" i="3" s="1"/>
  <c r="F48" i="2"/>
  <c r="F55" i="3" s="1"/>
  <c r="G55" i="3" s="1"/>
  <c r="F65" i="2"/>
  <c r="F74" i="3" s="1"/>
  <c r="G74" i="3" s="1"/>
  <c r="F84" i="2"/>
  <c r="F91" i="3" s="1"/>
  <c r="G91" i="3" s="1"/>
  <c r="F31" i="2"/>
  <c r="F36" i="3" s="1"/>
  <c r="G36" i="3" s="1"/>
  <c r="F49" i="2"/>
  <c r="F54" i="3" s="1"/>
  <c r="G54" i="3" s="1"/>
  <c r="F66" i="2"/>
  <c r="F73" i="3" s="1"/>
  <c r="G73" i="3" s="1"/>
  <c r="F90" i="2"/>
  <c r="F85" i="3" s="1"/>
  <c r="G85" i="3" s="1"/>
  <c r="G93" i="3" s="1"/>
  <c r="J93" i="3" s="1"/>
  <c r="F107" i="2"/>
  <c r="F104" i="3" s="1"/>
  <c r="G104" i="3" s="1"/>
  <c r="G111" i="3" s="1"/>
  <c r="J111" i="3" s="1"/>
  <c r="F30" i="2"/>
  <c r="F37" i="3" s="1"/>
  <c r="G37" i="3" s="1"/>
  <c r="G39" i="3" s="1"/>
  <c r="J39" i="3" s="1"/>
  <c r="F32" i="2"/>
  <c r="F35" i="3" s="1"/>
  <c r="G35" i="3" s="1"/>
  <c r="F50" i="2"/>
  <c r="F53" i="3" s="1"/>
  <c r="G53" i="3" s="1"/>
  <c r="F83" i="2"/>
  <c r="F92" i="3" s="1"/>
  <c r="G92" i="3" s="1"/>
  <c r="F51" i="2"/>
  <c r="F52" i="3" s="1"/>
  <c r="G52" i="3" s="1"/>
  <c r="F34" i="2"/>
  <c r="F33" i="3" s="1"/>
  <c r="G33" i="3" s="1"/>
  <c r="F69" i="2"/>
  <c r="F70" i="3" s="1"/>
  <c r="G70" i="3" s="1"/>
  <c r="F85" i="2"/>
  <c r="F90" i="3" s="1"/>
  <c r="G90" i="3" s="1"/>
  <c r="F102" i="2"/>
  <c r="F109" i="3" s="1"/>
  <c r="G109" i="3" s="1"/>
  <c r="F14" i="2"/>
  <c r="F13" i="3" s="1"/>
  <c r="G13" i="3" s="1"/>
  <c r="F68" i="2"/>
  <c r="F71" i="3" s="1"/>
  <c r="G71" i="3" s="1"/>
  <c r="F16" i="2"/>
  <c r="F11" i="3" s="1"/>
  <c r="G11" i="3" s="1"/>
  <c r="F54" i="2"/>
  <c r="F49" i="3" s="1"/>
  <c r="G49" i="3" s="1"/>
  <c r="G57" i="3" s="1"/>
  <c r="J57" i="3" s="1"/>
  <c r="F103" i="2"/>
  <c r="F108" i="3" s="1"/>
  <c r="G108" i="3" s="1"/>
  <c r="F13" i="2"/>
  <c r="F14" i="3" s="1"/>
  <c r="G14" i="3" s="1"/>
  <c r="F67" i="2"/>
  <c r="F72" i="3" s="1"/>
  <c r="G72" i="3" s="1"/>
  <c r="F101" i="2"/>
  <c r="F110" i="3" s="1"/>
  <c r="G110" i="3" s="1"/>
  <c r="F53" i="2"/>
  <c r="F50" i="3" s="1"/>
  <c r="G50" i="3" s="1"/>
  <c r="F86" i="2"/>
  <c r="F89" i="3" s="1"/>
  <c r="G89" i="3" s="1"/>
  <c r="F87" i="2"/>
  <c r="F88" i="3" s="1"/>
  <c r="G88" i="3" s="1"/>
  <c r="F104" i="2"/>
  <c r="F107" i="3" s="1"/>
  <c r="G107" i="3" s="1"/>
  <c r="F88" i="2"/>
  <c r="F87" i="3" s="1"/>
  <c r="G87" i="3" s="1"/>
  <c r="F89" i="2"/>
  <c r="F86" i="3" s="1"/>
  <c r="G86" i="3" s="1"/>
  <c r="F47" i="2"/>
  <c r="F56" i="3" s="1"/>
  <c r="G56" i="3" s="1"/>
  <c r="F11" i="2"/>
  <c r="F16" i="3" s="1"/>
  <c r="G16" i="3" s="1"/>
  <c r="F12" i="2"/>
  <c r="F15" i="3" s="1"/>
  <c r="G15" i="3" s="1"/>
  <c r="H74" i="3" l="1"/>
  <c r="J74" i="3"/>
  <c r="D74" i="5" s="1"/>
  <c r="F74" i="5" s="1"/>
  <c r="J70" i="3"/>
  <c r="D70" i="5" s="1"/>
  <c r="F70" i="5" s="1"/>
  <c r="H70" i="3"/>
  <c r="H75" i="3" s="1"/>
  <c r="H88" i="3"/>
  <c r="J88" i="3"/>
  <c r="D88" i="5" s="1"/>
  <c r="F88" i="5" s="1"/>
  <c r="J108" i="3"/>
  <c r="D108" i="5" s="1"/>
  <c r="F108" i="5" s="1"/>
  <c r="H108" i="3"/>
  <c r="H33" i="3"/>
  <c r="J33" i="3"/>
  <c r="D33" i="5" s="1"/>
  <c r="F33" i="5" s="1"/>
  <c r="J55" i="3"/>
  <c r="D55" i="5" s="1"/>
  <c r="F55" i="5" s="1"/>
  <c r="H55" i="3"/>
  <c r="H107" i="3"/>
  <c r="J107" i="3"/>
  <c r="D107" i="5" s="1"/>
  <c r="F107" i="5" s="1"/>
  <c r="J15" i="3"/>
  <c r="D15" i="5" s="1"/>
  <c r="F15" i="5" s="1"/>
  <c r="H15" i="3"/>
  <c r="H89" i="3"/>
  <c r="J89" i="3"/>
  <c r="D89" i="5" s="1"/>
  <c r="F89" i="5" s="1"/>
  <c r="H49" i="3"/>
  <c r="J49" i="3"/>
  <c r="D49" i="5" s="1"/>
  <c r="F49" i="5" s="1"/>
  <c r="J52" i="3"/>
  <c r="D52" i="5" s="1"/>
  <c r="F52" i="5" s="1"/>
  <c r="H52" i="3"/>
  <c r="H104" i="3"/>
  <c r="H111" i="3" s="1"/>
  <c r="J104" i="3"/>
  <c r="D104" i="5" s="1"/>
  <c r="F104" i="5" s="1"/>
  <c r="H50" i="3"/>
  <c r="J50" i="3"/>
  <c r="D50" i="5" s="1"/>
  <c r="F50" i="5" s="1"/>
  <c r="J11" i="3"/>
  <c r="D11" i="5" s="1"/>
  <c r="F11" i="5" s="1"/>
  <c r="H11" i="3"/>
  <c r="H19" i="3" s="1"/>
  <c r="H105" i="3"/>
  <c r="J105" i="3"/>
  <c r="D105" i="5" s="1"/>
  <c r="F105" i="5" s="1"/>
  <c r="J92" i="3"/>
  <c r="D92" i="5" s="1"/>
  <c r="F92" i="5" s="1"/>
  <c r="H92" i="3"/>
  <c r="H56" i="3"/>
  <c r="J56" i="3"/>
  <c r="D56" i="5" s="1"/>
  <c r="F56" i="5" s="1"/>
  <c r="H71" i="3"/>
  <c r="J71" i="3"/>
  <c r="D71" i="5" s="1"/>
  <c r="F71" i="5" s="1"/>
  <c r="H73" i="3"/>
  <c r="J73" i="3"/>
  <c r="D73" i="5" s="1"/>
  <c r="F73" i="5" s="1"/>
  <c r="J85" i="3"/>
  <c r="D85" i="5" s="1"/>
  <c r="F85" i="5" s="1"/>
  <c r="H85" i="3"/>
  <c r="H93" i="3" s="1"/>
  <c r="H110" i="3"/>
  <c r="J110" i="3"/>
  <c r="D110" i="5" s="1"/>
  <c r="F110" i="5" s="1"/>
  <c r="J53" i="3"/>
  <c r="D53" i="5" s="1"/>
  <c r="F53" i="5" s="1"/>
  <c r="H53" i="3"/>
  <c r="H86" i="3"/>
  <c r="J86" i="3"/>
  <c r="D86" i="5" s="1"/>
  <c r="F86" i="5" s="1"/>
  <c r="H72" i="3"/>
  <c r="J72" i="3"/>
  <c r="D72" i="5" s="1"/>
  <c r="F72" i="5" s="1"/>
  <c r="J13" i="3"/>
  <c r="D13" i="5" s="1"/>
  <c r="F13" i="5" s="1"/>
  <c r="H13" i="3"/>
  <c r="H35" i="3"/>
  <c r="J35" i="3"/>
  <c r="D35" i="5" s="1"/>
  <c r="F35" i="5" s="1"/>
  <c r="J54" i="3"/>
  <c r="D54" i="5" s="1"/>
  <c r="F54" i="5" s="1"/>
  <c r="H54" i="3"/>
  <c r="G75" i="3"/>
  <c r="J75" i="3" s="1"/>
  <c r="H16" i="3"/>
  <c r="J16" i="3"/>
  <c r="D16" i="5" s="1"/>
  <c r="F16" i="5" s="1"/>
  <c r="H87" i="3"/>
  <c r="J87" i="3"/>
  <c r="D87" i="5" s="1"/>
  <c r="F87" i="5" s="1"/>
  <c r="J14" i="3"/>
  <c r="D14" i="5" s="1"/>
  <c r="F14" i="5" s="1"/>
  <c r="H14" i="3"/>
  <c r="H109" i="3"/>
  <c r="J109" i="3"/>
  <c r="D109" i="5" s="1"/>
  <c r="F109" i="5" s="1"/>
  <c r="J37" i="3"/>
  <c r="D37" i="5" s="1"/>
  <c r="F37" i="5" s="1"/>
  <c r="H37" i="3"/>
  <c r="J36" i="3"/>
  <c r="D36" i="5" s="1"/>
  <c r="F36" i="5" s="1"/>
  <c r="H36" i="3"/>
  <c r="H90" i="3"/>
  <c r="J90" i="3"/>
  <c r="D90" i="5" s="1"/>
  <c r="F90" i="5" s="1"/>
  <c r="H91" i="3"/>
  <c r="J91" i="3"/>
  <c r="D91" i="5" s="1"/>
  <c r="F91" i="5" s="1"/>
  <c r="G19" i="3"/>
  <c r="J19" i="3" s="1"/>
  <c r="E9" i="5" s="1"/>
  <c r="F9" i="5" s="1"/>
  <c r="H57" i="3" l="1"/>
  <c r="H39" i="3"/>
</calcChain>
</file>

<file path=xl/sharedStrings.xml><?xml version="1.0" encoding="utf-8"?>
<sst xmlns="http://schemas.openxmlformats.org/spreadsheetml/2006/main" count="294" uniqueCount="45">
  <si>
    <t>Combined Cumulative Net Losses Across All Business</t>
  </si>
  <si>
    <t>Years in which losses where incurred</t>
  </si>
  <si>
    <t>Cumulative Net losses For Homeowners and Farmowners</t>
  </si>
  <si>
    <t>Cumulative Net losses For PRIVATE PASSENGER AUTO LIABILITY/MEDICAL</t>
  </si>
  <si>
    <t>Cumulative Net losses For COMMERCIAL AUTO/TRUCK LIABILITY/MEDICAL</t>
  </si>
  <si>
    <t>Cumulative Net losses For WORKERS' COMPENSATION</t>
  </si>
  <si>
    <t>Cumulative Net losses For COMMERCIAL MULTIPLE PERIL</t>
  </si>
  <si>
    <t>Volume weighted loss development factor</t>
  </si>
  <si>
    <t>Year to ultimate loss development factor</t>
  </si>
  <si>
    <t>f1</t>
  </si>
  <si>
    <t>1 to ultimate</t>
  </si>
  <si>
    <t>f2</t>
  </si>
  <si>
    <t>2 to ultimate</t>
  </si>
  <si>
    <t>f3</t>
  </si>
  <si>
    <t>3 to ultimate</t>
  </si>
  <si>
    <t>f4</t>
  </si>
  <si>
    <t>4 to ultimate</t>
  </si>
  <si>
    <t>f5</t>
  </si>
  <si>
    <t>5 to ultimate</t>
  </si>
  <si>
    <t>f6</t>
  </si>
  <si>
    <t>6 to ultimate</t>
  </si>
  <si>
    <t>f7</t>
  </si>
  <si>
    <t>7 to ultimate</t>
  </si>
  <si>
    <t>f8</t>
  </si>
  <si>
    <t>8 to ultimate</t>
  </si>
  <si>
    <t>f9</t>
  </si>
  <si>
    <t>9 to ultimate</t>
  </si>
  <si>
    <t>f10</t>
  </si>
  <si>
    <t>10 to ultimate</t>
  </si>
  <si>
    <t>Accident Year</t>
  </si>
  <si>
    <t>Cumulative paid loss to date</t>
  </si>
  <si>
    <t>Age at latest evaluation</t>
  </si>
  <si>
    <t>Ultimate Loss development Factor</t>
  </si>
  <si>
    <t>Expected Loss(Chain Ladder Method)</t>
  </si>
  <si>
    <t>Loss Reserves(Chain Ladder Method)</t>
  </si>
  <si>
    <t>Earned Premiums</t>
  </si>
  <si>
    <t>Expected Loss Ratio</t>
  </si>
  <si>
    <t>Total</t>
  </si>
  <si>
    <t>Indicative Loss Ratio(Percentage)</t>
  </si>
  <si>
    <t>Target Loss Ratio%(Average )</t>
  </si>
  <si>
    <t>Difference(Points)</t>
  </si>
  <si>
    <t>Rate Adequacy  Verdict</t>
  </si>
  <si>
    <t>Roughly Adequate</t>
  </si>
  <si>
    <t>Overcharged</t>
  </si>
  <si>
    <t>Undercharged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</si>
</sst>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3" fontId="3" fillId="0" borderId="0" xfId="0" applyNumberFormat="1" applyFont="1" applyAlignment="1">
      <alignment horizontal="right"/>
    </xf>
    <xf numFmtId="0" fontId="4" fillId="2" borderId="0" xfId="0" applyFont="1" applyFill="1"/>
    <xf numFmtId="0" fontId="5" fillId="0" borderId="0" xfId="0" applyFont="1"/>
    <xf numFmtId="0" fontId="6" fillId="0" borderId="0" xfId="0" applyFont="1"/>
    <xf numFmtId="3" fontId="0" fillId="0" borderId="0" xfId="0" applyNumberFormat="1"/>
    <xf numFmtId="2" fontId="0" fillId="0" borderId="0" xfId="0" applyNumberFormat="1"/>
    <xf numFmtId="2" fontId="5" fillId="0" borderId="0" xfId="0" applyNumberFormat="1" applyFont="1"/>
    <xf numFmtId="3" fontId="5" fillId="0" borderId="0" xfId="0" applyNumberFormat="1" applyFont="1"/>
    <xf numFmtId="0" fontId="5" fillId="3" borderId="0" xfId="0" applyFont="1" applyFill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56F7-44B0-1746-9A52-53A24D68F34B}">
  <dimension ref="B6:L110"/>
  <sheetViews>
    <sheetView workbookViewId="0">
      <selection activeCell="C101" sqref="C101:L110"/>
    </sheetView>
  </sheetViews>
  <sheetFormatPr baseColWidth="10" defaultColWidth="8.83203125" defaultRowHeight="16" x14ac:dyDescent="0.2"/>
  <cols>
    <col min="1" max="1" width="13" customWidth="1"/>
    <col min="2" max="2" width="51.83203125" bestFit="1" customWidth="1"/>
    <col min="3" max="12" width="13" customWidth="1"/>
  </cols>
  <sheetData>
    <row r="6" spans="2:12" x14ac:dyDescent="0.2">
      <c r="B6" s="1" t="s">
        <v>0</v>
      </c>
    </row>
    <row r="8" spans="2:12" x14ac:dyDescent="0.2">
      <c r="B8" s="2" t="s">
        <v>1</v>
      </c>
      <c r="C8" s="3">
        <v>0</v>
      </c>
      <c r="D8" s="3">
        <v>1</v>
      </c>
      <c r="E8" s="3">
        <v>2</v>
      </c>
      <c r="F8" s="3">
        <v>3</v>
      </c>
      <c r="G8" s="3">
        <v>4</v>
      </c>
      <c r="H8" s="3">
        <v>5</v>
      </c>
      <c r="I8" s="3">
        <v>6</v>
      </c>
      <c r="J8" s="3">
        <v>7</v>
      </c>
      <c r="K8" s="3">
        <v>8</v>
      </c>
      <c r="L8" s="3">
        <v>9</v>
      </c>
    </row>
    <row r="9" spans="2:12" x14ac:dyDescent="0.2">
      <c r="B9" s="4">
        <v>2016</v>
      </c>
      <c r="C9" s="5">
        <v>4826862</v>
      </c>
      <c r="D9" s="5">
        <v>7588442</v>
      </c>
      <c r="E9" s="5">
        <v>9039686</v>
      </c>
      <c r="F9" s="5">
        <v>10109878</v>
      </c>
      <c r="G9" s="5">
        <v>10724693</v>
      </c>
      <c r="H9" s="5">
        <v>11143668</v>
      </c>
      <c r="I9" s="5">
        <v>11435279</v>
      </c>
      <c r="J9" s="5">
        <v>11579740</v>
      </c>
      <c r="K9" s="5">
        <v>11706649</v>
      </c>
      <c r="L9" s="5">
        <v>11798741</v>
      </c>
    </row>
    <row r="10" spans="2:12" x14ac:dyDescent="0.2">
      <c r="B10" s="4">
        <v>2017</v>
      </c>
      <c r="C10" s="5">
        <v>5967716</v>
      </c>
      <c r="D10" s="5">
        <v>9332252</v>
      </c>
      <c r="E10" s="5">
        <v>10987843</v>
      </c>
      <c r="F10" s="5">
        <v>11853392</v>
      </c>
      <c r="G10" s="5">
        <v>12594782</v>
      </c>
      <c r="H10" s="5">
        <v>13154074</v>
      </c>
      <c r="I10" s="5">
        <v>13504163</v>
      </c>
      <c r="J10" s="5">
        <v>13726261</v>
      </c>
      <c r="K10" s="5">
        <v>13870301</v>
      </c>
      <c r="L10" s="5">
        <v>0</v>
      </c>
    </row>
    <row r="11" spans="2:12" x14ac:dyDescent="0.2">
      <c r="B11" s="4">
        <v>2018</v>
      </c>
      <c r="C11" s="5">
        <v>6246413</v>
      </c>
      <c r="D11" s="5">
        <v>9836031</v>
      </c>
      <c r="E11" s="5">
        <v>11334472</v>
      </c>
      <c r="F11" s="5">
        <v>12469518</v>
      </c>
      <c r="G11" s="5">
        <v>13371800</v>
      </c>
      <c r="H11" s="5">
        <v>13975048</v>
      </c>
      <c r="I11" s="5">
        <v>14371819</v>
      </c>
      <c r="J11" s="5">
        <v>14589305</v>
      </c>
      <c r="K11" s="5">
        <v>0</v>
      </c>
      <c r="L11" s="5">
        <v>0</v>
      </c>
    </row>
    <row r="12" spans="2:12" x14ac:dyDescent="0.2">
      <c r="B12" s="4">
        <v>2019</v>
      </c>
      <c r="C12" s="5">
        <v>6262380</v>
      </c>
      <c r="D12" s="5">
        <v>9839107</v>
      </c>
      <c r="E12" s="5">
        <v>11593201</v>
      </c>
      <c r="F12" s="5">
        <v>12987689</v>
      </c>
      <c r="G12" s="5">
        <v>14007891</v>
      </c>
      <c r="H12" s="5">
        <v>14635580</v>
      </c>
      <c r="I12" s="5">
        <v>14995725</v>
      </c>
      <c r="J12" s="5">
        <v>0</v>
      </c>
      <c r="K12" s="5">
        <v>0</v>
      </c>
      <c r="L12" s="5">
        <v>0</v>
      </c>
    </row>
    <row r="13" spans="2:12" x14ac:dyDescent="0.2">
      <c r="B13" s="4">
        <v>2020</v>
      </c>
      <c r="C13" s="5">
        <v>6198958</v>
      </c>
      <c r="D13" s="5">
        <v>9276611</v>
      </c>
      <c r="E13" s="5">
        <v>10804698</v>
      </c>
      <c r="F13" s="5">
        <v>12059085</v>
      </c>
      <c r="G13" s="5">
        <v>12945691</v>
      </c>
      <c r="H13" s="5">
        <v>13452890</v>
      </c>
      <c r="I13" s="5">
        <v>0</v>
      </c>
      <c r="J13" s="5">
        <v>0</v>
      </c>
      <c r="K13" s="5">
        <v>0</v>
      </c>
      <c r="L13" s="5">
        <v>0</v>
      </c>
    </row>
    <row r="14" spans="2:12" x14ac:dyDescent="0.2">
      <c r="B14" s="4">
        <v>2021</v>
      </c>
      <c r="C14" s="5">
        <v>7071516</v>
      </c>
      <c r="D14" s="5">
        <v>11030361</v>
      </c>
      <c r="E14" s="5">
        <v>12797687</v>
      </c>
      <c r="F14" s="5">
        <v>14115345</v>
      </c>
      <c r="G14" s="5">
        <v>15019191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</row>
    <row r="15" spans="2:12" x14ac:dyDescent="0.2">
      <c r="B15" s="4">
        <v>2022</v>
      </c>
      <c r="C15" s="5">
        <v>7960697</v>
      </c>
      <c r="D15" s="5">
        <v>13022813</v>
      </c>
      <c r="E15" s="5">
        <v>15269999</v>
      </c>
      <c r="F15" s="5">
        <v>16753459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2:12" x14ac:dyDescent="0.2">
      <c r="B16" s="4">
        <v>2023</v>
      </c>
      <c r="C16" s="5">
        <v>9315380</v>
      </c>
      <c r="D16" s="5">
        <v>14459469</v>
      </c>
      <c r="E16" s="5">
        <v>16790693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2:12" x14ac:dyDescent="0.2">
      <c r="B17" s="4">
        <v>2024</v>
      </c>
      <c r="C17" s="5">
        <v>9325572</v>
      </c>
      <c r="D17" s="5">
        <v>14226152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2:12" x14ac:dyDescent="0.2">
      <c r="B18" s="4">
        <v>2025</v>
      </c>
      <c r="C18" s="5">
        <v>8975277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26" spans="2:12" x14ac:dyDescent="0.2">
      <c r="B26" s="1" t="s">
        <v>2</v>
      </c>
    </row>
    <row r="28" spans="2:12" x14ac:dyDescent="0.2">
      <c r="B28" s="2" t="s">
        <v>1</v>
      </c>
      <c r="C28" s="3">
        <v>0</v>
      </c>
      <c r="D28" s="3">
        <v>1</v>
      </c>
      <c r="E28" s="3">
        <v>2</v>
      </c>
      <c r="F28" s="3">
        <v>3</v>
      </c>
      <c r="G28" s="3">
        <v>4</v>
      </c>
      <c r="H28" s="3">
        <v>5</v>
      </c>
      <c r="I28" s="3">
        <v>6</v>
      </c>
      <c r="J28" s="3">
        <v>7</v>
      </c>
      <c r="K28" s="3">
        <v>8</v>
      </c>
      <c r="L28" s="3">
        <v>9</v>
      </c>
    </row>
    <row r="29" spans="2:12" x14ac:dyDescent="0.2">
      <c r="B29" s="4">
        <v>2016</v>
      </c>
      <c r="C29" s="5">
        <v>1110649</v>
      </c>
      <c r="D29" s="5">
        <v>1469662</v>
      </c>
      <c r="E29" s="5">
        <v>1538002</v>
      </c>
      <c r="F29" s="5">
        <v>1565073</v>
      </c>
      <c r="G29" s="5">
        <v>1576467</v>
      </c>
      <c r="H29" s="5">
        <v>1580496</v>
      </c>
      <c r="I29" s="5">
        <v>1585674</v>
      </c>
      <c r="J29" s="5">
        <v>1587403</v>
      </c>
      <c r="K29" s="5">
        <v>1589215</v>
      </c>
      <c r="L29" s="5">
        <v>1589933</v>
      </c>
    </row>
    <row r="30" spans="2:12" x14ac:dyDescent="0.2">
      <c r="B30" s="4">
        <v>2017</v>
      </c>
      <c r="C30" s="5">
        <v>1576262</v>
      </c>
      <c r="D30" s="5">
        <v>2205318</v>
      </c>
      <c r="E30" s="5">
        <v>2354787</v>
      </c>
      <c r="F30" s="5">
        <v>2230759</v>
      </c>
      <c r="G30" s="5">
        <v>2245257</v>
      </c>
      <c r="H30" s="5">
        <v>2253831</v>
      </c>
      <c r="I30" s="5">
        <v>2258279</v>
      </c>
      <c r="J30" s="5">
        <v>2262438</v>
      </c>
      <c r="K30" s="5">
        <v>2264178</v>
      </c>
      <c r="L30" s="5">
        <v>0</v>
      </c>
    </row>
    <row r="31" spans="2:12" x14ac:dyDescent="0.2">
      <c r="B31" s="4">
        <v>2018</v>
      </c>
      <c r="C31" s="5">
        <v>1742329</v>
      </c>
      <c r="D31" s="5">
        <v>2415874</v>
      </c>
      <c r="E31" s="5">
        <v>2377977</v>
      </c>
      <c r="F31" s="5">
        <v>2369185</v>
      </c>
      <c r="G31" s="5">
        <v>2389150</v>
      </c>
      <c r="H31" s="5">
        <v>2396455</v>
      </c>
      <c r="I31" s="5">
        <v>2399367</v>
      </c>
      <c r="J31" s="5">
        <v>2404449</v>
      </c>
      <c r="K31" s="5">
        <v>0</v>
      </c>
      <c r="L31" s="5">
        <v>0</v>
      </c>
    </row>
    <row r="32" spans="2:12" x14ac:dyDescent="0.2">
      <c r="B32" s="4">
        <v>2019</v>
      </c>
      <c r="C32" s="5">
        <v>1698356</v>
      </c>
      <c r="D32" s="5">
        <v>2292819</v>
      </c>
      <c r="E32" s="5">
        <v>2392891</v>
      </c>
      <c r="F32" s="5">
        <v>2425627</v>
      </c>
      <c r="G32" s="5">
        <v>2443236</v>
      </c>
      <c r="H32" s="5">
        <v>2453821</v>
      </c>
      <c r="I32" s="5">
        <v>2452899</v>
      </c>
      <c r="J32" s="5">
        <v>0</v>
      </c>
      <c r="K32" s="5">
        <v>0</v>
      </c>
      <c r="L32" s="5">
        <v>0</v>
      </c>
    </row>
    <row r="33" spans="2:12" x14ac:dyDescent="0.2">
      <c r="B33" s="4">
        <v>2020</v>
      </c>
      <c r="C33" s="5">
        <v>2110932</v>
      </c>
      <c r="D33" s="5">
        <v>2790835</v>
      </c>
      <c r="E33" s="5">
        <v>2881093</v>
      </c>
      <c r="F33" s="5">
        <v>2935977</v>
      </c>
      <c r="G33" s="5">
        <v>2960499</v>
      </c>
      <c r="H33" s="5">
        <v>2967414</v>
      </c>
      <c r="I33" s="5">
        <v>0</v>
      </c>
      <c r="J33" s="5">
        <v>0</v>
      </c>
      <c r="K33" s="5">
        <v>0</v>
      </c>
      <c r="L33" s="5">
        <v>0</v>
      </c>
    </row>
    <row r="34" spans="2:12" x14ac:dyDescent="0.2">
      <c r="B34" s="4">
        <v>2021</v>
      </c>
      <c r="C34" s="5">
        <v>2403311</v>
      </c>
      <c r="D34" s="5">
        <v>3331643</v>
      </c>
      <c r="E34" s="5">
        <v>3447605</v>
      </c>
      <c r="F34" s="5">
        <v>3478713</v>
      </c>
      <c r="G34" s="5">
        <v>3492079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2:12" x14ac:dyDescent="0.2">
      <c r="B35" s="4">
        <v>2022</v>
      </c>
      <c r="C35" s="5">
        <v>2619434</v>
      </c>
      <c r="D35" s="5">
        <v>3942297</v>
      </c>
      <c r="E35" s="5">
        <v>4144234</v>
      </c>
      <c r="F35" s="5">
        <v>4214025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2:12" x14ac:dyDescent="0.2">
      <c r="B36" s="4">
        <v>2023</v>
      </c>
      <c r="C36" s="5">
        <v>3473828</v>
      </c>
      <c r="D36" s="5">
        <v>4737739</v>
      </c>
      <c r="E36" s="5">
        <v>4951063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  <row r="37" spans="2:12" x14ac:dyDescent="0.2">
      <c r="B37" s="4">
        <v>2024</v>
      </c>
      <c r="C37" s="5">
        <v>3490477</v>
      </c>
      <c r="D37" s="5">
        <v>4566277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2:12" x14ac:dyDescent="0.2">
      <c r="B38" s="4">
        <v>2025</v>
      </c>
      <c r="C38" s="5">
        <v>3294181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44" spans="2:12" x14ac:dyDescent="0.2">
      <c r="B44" s="6" t="s">
        <v>3</v>
      </c>
    </row>
    <row r="46" spans="2:12" x14ac:dyDescent="0.2">
      <c r="B46" s="2" t="s">
        <v>1</v>
      </c>
      <c r="C46" s="3">
        <v>0</v>
      </c>
      <c r="D46" s="3">
        <v>1</v>
      </c>
      <c r="E46" s="3">
        <v>2</v>
      </c>
      <c r="F46" s="3">
        <v>3</v>
      </c>
      <c r="G46" s="3">
        <v>4</v>
      </c>
      <c r="H46" s="3">
        <v>5</v>
      </c>
      <c r="I46" s="3">
        <v>6</v>
      </c>
      <c r="J46" s="3">
        <v>7</v>
      </c>
      <c r="K46" s="3">
        <v>8</v>
      </c>
      <c r="L46" s="3">
        <v>9</v>
      </c>
    </row>
    <row r="47" spans="2:12" x14ac:dyDescent="0.2">
      <c r="B47" s="4">
        <v>2016</v>
      </c>
      <c r="C47" s="5">
        <v>627300</v>
      </c>
      <c r="D47" s="5">
        <v>1197057</v>
      </c>
      <c r="E47" s="5">
        <v>1463910</v>
      </c>
      <c r="F47" s="5">
        <v>1613948</v>
      </c>
      <c r="G47" s="5">
        <v>1683851</v>
      </c>
      <c r="H47" s="5">
        <v>1714634</v>
      </c>
      <c r="I47" s="5">
        <v>1733819</v>
      </c>
      <c r="J47" s="5">
        <v>1739783</v>
      </c>
      <c r="K47" s="5">
        <v>1743177</v>
      </c>
      <c r="L47" s="5">
        <v>1744404</v>
      </c>
    </row>
    <row r="48" spans="2:12" x14ac:dyDescent="0.2">
      <c r="B48" s="4">
        <v>2017</v>
      </c>
      <c r="C48" s="5">
        <v>713613</v>
      </c>
      <c r="D48" s="5">
        <v>1353834</v>
      </c>
      <c r="E48" s="5">
        <v>1668308</v>
      </c>
      <c r="F48" s="5">
        <v>1828192</v>
      </c>
      <c r="G48" s="5">
        <v>1903816</v>
      </c>
      <c r="H48" s="5">
        <v>1949758</v>
      </c>
      <c r="I48" s="5">
        <v>1967667</v>
      </c>
      <c r="J48" s="5">
        <v>1972091</v>
      </c>
      <c r="K48" s="5">
        <v>1974588</v>
      </c>
      <c r="L48" s="5">
        <v>0</v>
      </c>
    </row>
    <row r="49" spans="2:12" x14ac:dyDescent="0.2">
      <c r="B49" s="4">
        <v>2018</v>
      </c>
      <c r="C49" s="5">
        <v>729709</v>
      </c>
      <c r="D49" s="5">
        <v>1393434</v>
      </c>
      <c r="E49" s="5">
        <v>1696364</v>
      </c>
      <c r="F49" s="5">
        <v>1857414</v>
      </c>
      <c r="G49" s="5">
        <v>1961385</v>
      </c>
      <c r="H49" s="5">
        <v>2005460</v>
      </c>
      <c r="I49" s="5">
        <v>2023705</v>
      </c>
      <c r="J49" s="5">
        <v>2032060</v>
      </c>
      <c r="K49" s="5">
        <v>0</v>
      </c>
      <c r="L49" s="5">
        <v>0</v>
      </c>
    </row>
    <row r="50" spans="2:12" x14ac:dyDescent="0.2">
      <c r="B50" s="4">
        <v>2019</v>
      </c>
      <c r="C50" s="5">
        <v>736718</v>
      </c>
      <c r="D50" s="5">
        <v>1413615</v>
      </c>
      <c r="E50" s="5">
        <v>1724888</v>
      </c>
      <c r="F50" s="5">
        <v>1926598</v>
      </c>
      <c r="G50" s="5">
        <v>2026405</v>
      </c>
      <c r="H50" s="5">
        <v>2073047</v>
      </c>
      <c r="I50" s="5">
        <v>2091823</v>
      </c>
      <c r="J50" s="5">
        <v>0</v>
      </c>
      <c r="K50" s="5">
        <v>0</v>
      </c>
      <c r="L50" s="5">
        <v>0</v>
      </c>
    </row>
    <row r="51" spans="2:12" x14ac:dyDescent="0.2">
      <c r="B51" s="4">
        <v>2020</v>
      </c>
      <c r="C51" s="5">
        <v>567550</v>
      </c>
      <c r="D51" s="5">
        <v>1091472</v>
      </c>
      <c r="E51" s="5">
        <v>1381767</v>
      </c>
      <c r="F51" s="5">
        <v>1532342</v>
      </c>
      <c r="G51" s="5">
        <v>1602589</v>
      </c>
      <c r="H51" s="5">
        <v>1635161</v>
      </c>
      <c r="I51" s="5">
        <v>0</v>
      </c>
      <c r="J51" s="5">
        <v>0</v>
      </c>
      <c r="K51" s="5">
        <v>0</v>
      </c>
      <c r="L51" s="5">
        <v>0</v>
      </c>
    </row>
    <row r="52" spans="2:12" x14ac:dyDescent="0.2">
      <c r="B52" s="4">
        <v>2021</v>
      </c>
      <c r="C52" s="5">
        <v>682680</v>
      </c>
      <c r="D52" s="5">
        <v>1479372</v>
      </c>
      <c r="E52" s="5">
        <v>1864207</v>
      </c>
      <c r="F52" s="5">
        <v>2058676</v>
      </c>
      <c r="G52" s="5">
        <v>2147312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</row>
    <row r="53" spans="2:12" x14ac:dyDescent="0.2">
      <c r="B53" s="4">
        <v>2022</v>
      </c>
      <c r="C53" s="5">
        <v>864009</v>
      </c>
      <c r="D53" s="5">
        <v>1844861</v>
      </c>
      <c r="E53" s="5">
        <v>2282246</v>
      </c>
      <c r="F53" s="5">
        <v>2492236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2:12" x14ac:dyDescent="0.2">
      <c r="B54" s="4">
        <v>2023</v>
      </c>
      <c r="C54" s="5">
        <v>972555</v>
      </c>
      <c r="D54" s="5">
        <v>1996387</v>
      </c>
      <c r="E54" s="5">
        <v>2470313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2:12" x14ac:dyDescent="0.2">
      <c r="B55" s="4">
        <v>2024</v>
      </c>
      <c r="C55" s="5">
        <v>964949</v>
      </c>
      <c r="D55" s="5">
        <v>1914481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2:12" x14ac:dyDescent="0.2">
      <c r="B56" s="4">
        <v>2025</v>
      </c>
      <c r="C56" s="5">
        <v>903083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62" spans="2:12" x14ac:dyDescent="0.2">
      <c r="B62" s="6" t="s">
        <v>4</v>
      </c>
    </row>
    <row r="64" spans="2:12" x14ac:dyDescent="0.2">
      <c r="B64" s="2" t="s">
        <v>1</v>
      </c>
      <c r="C64" s="3">
        <v>0</v>
      </c>
      <c r="D64" s="3">
        <v>1</v>
      </c>
      <c r="E64" s="3">
        <v>2</v>
      </c>
      <c r="F64" s="3">
        <v>3</v>
      </c>
      <c r="G64" s="3">
        <v>4</v>
      </c>
      <c r="H64" s="3">
        <v>5</v>
      </c>
      <c r="I64" s="3">
        <v>6</v>
      </c>
      <c r="J64" s="3">
        <v>7</v>
      </c>
      <c r="K64" s="3">
        <v>8</v>
      </c>
      <c r="L64" s="3">
        <v>9</v>
      </c>
    </row>
    <row r="65" spans="2:12" x14ac:dyDescent="0.2">
      <c r="B65" s="4">
        <v>2016</v>
      </c>
      <c r="C65" s="5">
        <v>175900</v>
      </c>
      <c r="D65" s="5">
        <v>434523</v>
      </c>
      <c r="E65" s="5">
        <v>684975</v>
      </c>
      <c r="F65" s="5">
        <v>918187</v>
      </c>
      <c r="G65" s="5">
        <v>1027686</v>
      </c>
      <c r="H65" s="5">
        <v>1086054</v>
      </c>
      <c r="I65" s="5">
        <v>1139335</v>
      </c>
      <c r="J65" s="5">
        <v>1158109</v>
      </c>
      <c r="K65" s="5">
        <v>1163946</v>
      </c>
      <c r="L65" s="5">
        <v>1173340</v>
      </c>
    </row>
    <row r="66" spans="2:12" x14ac:dyDescent="0.2">
      <c r="B66" s="4">
        <v>2017</v>
      </c>
      <c r="C66" s="5">
        <v>191126</v>
      </c>
      <c r="D66" s="5">
        <v>467000</v>
      </c>
      <c r="E66" s="5">
        <v>755513</v>
      </c>
      <c r="F66" s="5">
        <v>960737</v>
      </c>
      <c r="G66" s="5">
        <v>1098501</v>
      </c>
      <c r="H66" s="5">
        <v>1188725</v>
      </c>
      <c r="I66" s="5">
        <v>1246138</v>
      </c>
      <c r="J66" s="5">
        <v>1268079</v>
      </c>
      <c r="K66" s="5">
        <v>1284463</v>
      </c>
      <c r="L66" s="5">
        <v>0</v>
      </c>
    </row>
    <row r="67" spans="2:12" x14ac:dyDescent="0.2">
      <c r="B67" s="4">
        <v>2018</v>
      </c>
      <c r="C67" s="5">
        <v>222243</v>
      </c>
      <c r="D67" s="5">
        <v>533974</v>
      </c>
      <c r="E67" s="5">
        <v>852568</v>
      </c>
      <c r="F67" s="5">
        <v>1103351</v>
      </c>
      <c r="G67" s="5">
        <v>1297437</v>
      </c>
      <c r="H67" s="5">
        <v>1396882</v>
      </c>
      <c r="I67" s="5">
        <v>1442482</v>
      </c>
      <c r="J67" s="5">
        <v>1470916</v>
      </c>
      <c r="K67" s="5">
        <v>0</v>
      </c>
      <c r="L67" s="5">
        <v>0</v>
      </c>
    </row>
    <row r="68" spans="2:12" x14ac:dyDescent="0.2">
      <c r="B68" s="4">
        <v>2019</v>
      </c>
      <c r="C68" s="5">
        <v>227000</v>
      </c>
      <c r="D68" s="5">
        <v>599759</v>
      </c>
      <c r="E68" s="5">
        <v>942843</v>
      </c>
      <c r="F68" s="5">
        <v>1259017</v>
      </c>
      <c r="G68" s="5">
        <v>1479701</v>
      </c>
      <c r="H68" s="5">
        <v>1592123</v>
      </c>
      <c r="I68" s="5">
        <v>1651674</v>
      </c>
      <c r="J68" s="5">
        <v>0</v>
      </c>
      <c r="K68" s="5">
        <v>0</v>
      </c>
      <c r="L68" s="5">
        <v>0</v>
      </c>
    </row>
    <row r="69" spans="2:12" x14ac:dyDescent="0.2">
      <c r="B69" s="4">
        <v>2020</v>
      </c>
      <c r="C69" s="5">
        <v>172716</v>
      </c>
      <c r="D69" s="5">
        <v>415068</v>
      </c>
      <c r="E69" s="5">
        <v>684458</v>
      </c>
      <c r="F69" s="5">
        <v>925218</v>
      </c>
      <c r="G69" s="5">
        <v>1082313</v>
      </c>
      <c r="H69" s="5">
        <v>1160169</v>
      </c>
      <c r="I69" s="5">
        <v>0</v>
      </c>
      <c r="J69" s="5">
        <v>0</v>
      </c>
      <c r="K69" s="5">
        <v>0</v>
      </c>
      <c r="L69" s="5">
        <v>0</v>
      </c>
    </row>
    <row r="70" spans="2:12" x14ac:dyDescent="0.2">
      <c r="B70" s="4">
        <v>2021</v>
      </c>
      <c r="C70" s="5">
        <v>173471</v>
      </c>
      <c r="D70" s="5">
        <v>481408</v>
      </c>
      <c r="E70" s="5">
        <v>828241</v>
      </c>
      <c r="F70" s="5">
        <v>1106021</v>
      </c>
      <c r="G70" s="5">
        <v>1298474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</row>
    <row r="71" spans="2:12" x14ac:dyDescent="0.2">
      <c r="B71" s="4">
        <v>2022</v>
      </c>
      <c r="C71" s="5">
        <v>203698</v>
      </c>
      <c r="D71" s="5">
        <v>574499</v>
      </c>
      <c r="E71" s="5">
        <v>942525</v>
      </c>
      <c r="F71" s="5">
        <v>1236345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</row>
    <row r="72" spans="2:12" x14ac:dyDescent="0.2">
      <c r="B72" s="4">
        <v>2023</v>
      </c>
      <c r="C72" s="5">
        <v>218757</v>
      </c>
      <c r="D72" s="5">
        <v>584048</v>
      </c>
      <c r="E72" s="5">
        <v>987427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</row>
    <row r="73" spans="2:12" x14ac:dyDescent="0.2">
      <c r="B73" s="4">
        <v>2024</v>
      </c>
      <c r="C73" s="5">
        <v>227593</v>
      </c>
      <c r="D73" s="5">
        <v>602384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</row>
    <row r="74" spans="2:12" x14ac:dyDescent="0.2">
      <c r="B74" s="4">
        <v>2025</v>
      </c>
      <c r="C74" s="5">
        <v>221153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</row>
    <row r="80" spans="2:12" x14ac:dyDescent="0.2">
      <c r="B80" s="6" t="s">
        <v>5</v>
      </c>
    </row>
    <row r="82" spans="2:12" x14ac:dyDescent="0.2">
      <c r="B82" s="2" t="s">
        <v>1</v>
      </c>
      <c r="C82" s="3">
        <v>0</v>
      </c>
      <c r="D82" s="3">
        <v>1</v>
      </c>
      <c r="E82" s="3">
        <v>2</v>
      </c>
      <c r="F82" s="3">
        <v>3</v>
      </c>
      <c r="G82" s="3">
        <v>4</v>
      </c>
      <c r="H82" s="3">
        <v>5</v>
      </c>
      <c r="I82" s="3">
        <v>6</v>
      </c>
      <c r="J82" s="3">
        <v>7</v>
      </c>
      <c r="K82" s="3">
        <v>8</v>
      </c>
      <c r="L82" s="3">
        <v>9</v>
      </c>
    </row>
    <row r="83" spans="2:12" x14ac:dyDescent="0.2">
      <c r="B83" s="4">
        <v>2016</v>
      </c>
      <c r="C83" s="5">
        <v>445316</v>
      </c>
      <c r="D83" s="5">
        <v>931081</v>
      </c>
      <c r="E83" s="5">
        <v>1190970</v>
      </c>
      <c r="F83" s="5">
        <v>1355111</v>
      </c>
      <c r="G83" s="5">
        <v>1456751</v>
      </c>
      <c r="H83" s="5">
        <v>1525868</v>
      </c>
      <c r="I83" s="5">
        <v>1582222</v>
      </c>
      <c r="J83" s="5">
        <v>1619992</v>
      </c>
      <c r="K83" s="5">
        <v>1652256</v>
      </c>
      <c r="L83" s="5">
        <v>1679282</v>
      </c>
    </row>
    <row r="84" spans="2:12" x14ac:dyDescent="0.2">
      <c r="B84" s="4">
        <v>2017</v>
      </c>
      <c r="C84" s="5">
        <v>453109</v>
      </c>
      <c r="D84" s="5">
        <v>940115</v>
      </c>
      <c r="E84" s="5">
        <v>1217618</v>
      </c>
      <c r="F84" s="5">
        <v>1386039</v>
      </c>
      <c r="G84" s="5">
        <v>1494653</v>
      </c>
      <c r="H84" s="5">
        <v>1569814</v>
      </c>
      <c r="I84" s="5">
        <v>1625862</v>
      </c>
      <c r="J84" s="5">
        <v>1668904</v>
      </c>
      <c r="K84" s="5">
        <v>1698608</v>
      </c>
      <c r="L84" s="5">
        <v>0</v>
      </c>
    </row>
    <row r="85" spans="2:12" x14ac:dyDescent="0.2">
      <c r="B85" s="4">
        <v>2018</v>
      </c>
      <c r="C85" s="5">
        <v>461457</v>
      </c>
      <c r="D85" s="5">
        <v>970660</v>
      </c>
      <c r="E85" s="5">
        <v>1235697</v>
      </c>
      <c r="F85" s="5">
        <v>1405962</v>
      </c>
      <c r="G85" s="5">
        <v>1520132</v>
      </c>
      <c r="H85" s="5">
        <v>1598629</v>
      </c>
      <c r="I85" s="5">
        <v>1662761</v>
      </c>
      <c r="J85" s="5">
        <v>1703947</v>
      </c>
      <c r="K85" s="5">
        <v>0</v>
      </c>
      <c r="L85" s="5">
        <v>0</v>
      </c>
    </row>
    <row r="86" spans="2:12" x14ac:dyDescent="0.2">
      <c r="B86" s="4">
        <v>2019</v>
      </c>
      <c r="C86" s="5">
        <v>487519</v>
      </c>
      <c r="D86" s="5">
        <v>996461</v>
      </c>
      <c r="E86" s="5">
        <v>1286312</v>
      </c>
      <c r="F86" s="5">
        <v>1466107</v>
      </c>
      <c r="G86" s="5">
        <v>1585150</v>
      </c>
      <c r="H86" s="5">
        <v>1662643</v>
      </c>
      <c r="I86" s="5">
        <v>1711280</v>
      </c>
      <c r="J86" s="5">
        <v>0</v>
      </c>
      <c r="K86" s="5">
        <v>0</v>
      </c>
      <c r="L86" s="5">
        <v>0</v>
      </c>
    </row>
    <row r="87" spans="2:12" x14ac:dyDescent="0.2">
      <c r="B87" s="4">
        <v>2020</v>
      </c>
      <c r="C87" s="5">
        <v>404378</v>
      </c>
      <c r="D87" s="5">
        <v>831240</v>
      </c>
      <c r="E87" s="5">
        <v>1064423</v>
      </c>
      <c r="F87" s="5">
        <v>1218251</v>
      </c>
      <c r="G87" s="5">
        <v>1330576</v>
      </c>
      <c r="H87" s="5">
        <v>1401799</v>
      </c>
      <c r="I87" s="5">
        <v>0</v>
      </c>
      <c r="J87" s="5">
        <v>0</v>
      </c>
      <c r="K87" s="5">
        <v>0</v>
      </c>
      <c r="L87" s="5">
        <v>0</v>
      </c>
    </row>
    <row r="88" spans="2:12" x14ac:dyDescent="0.2">
      <c r="B88" s="4">
        <v>2021</v>
      </c>
      <c r="C88" s="5">
        <v>444085</v>
      </c>
      <c r="D88" s="5">
        <v>882246</v>
      </c>
      <c r="E88" s="5">
        <v>1121096</v>
      </c>
      <c r="F88" s="5">
        <v>1284411</v>
      </c>
      <c r="G88" s="5">
        <v>1395152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</row>
    <row r="89" spans="2:12" x14ac:dyDescent="0.2">
      <c r="B89" s="4">
        <v>2022</v>
      </c>
      <c r="C89" s="5">
        <v>403540</v>
      </c>
      <c r="D89" s="5">
        <v>864798</v>
      </c>
      <c r="E89" s="5">
        <v>1124958</v>
      </c>
      <c r="F89" s="5">
        <v>1292334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</row>
    <row r="90" spans="2:12" x14ac:dyDescent="0.2">
      <c r="B90" s="4">
        <v>2023</v>
      </c>
      <c r="C90" s="5">
        <v>461865</v>
      </c>
      <c r="D90" s="5">
        <v>961385</v>
      </c>
      <c r="E90" s="5">
        <v>1235294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</row>
    <row r="91" spans="2:12" x14ac:dyDescent="0.2">
      <c r="B91" s="4">
        <v>2024</v>
      </c>
      <c r="C91" s="5">
        <v>457884</v>
      </c>
      <c r="D91" s="5">
        <v>972607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</row>
    <row r="92" spans="2:12" x14ac:dyDescent="0.2">
      <c r="B92" s="4">
        <v>2025</v>
      </c>
      <c r="C92" s="5">
        <v>448587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</row>
    <row r="98" spans="2:12" x14ac:dyDescent="0.2">
      <c r="B98" s="6" t="s">
        <v>6</v>
      </c>
    </row>
    <row r="100" spans="2:12" x14ac:dyDescent="0.2">
      <c r="B100" s="2" t="s">
        <v>1</v>
      </c>
      <c r="C100" s="3">
        <v>0</v>
      </c>
      <c r="D100" s="3">
        <v>1</v>
      </c>
      <c r="E100" s="3">
        <v>2</v>
      </c>
      <c r="F100" s="3">
        <v>3</v>
      </c>
      <c r="G100" s="3">
        <v>4</v>
      </c>
      <c r="H100" s="3">
        <v>5</v>
      </c>
      <c r="I100" s="3">
        <v>6</v>
      </c>
      <c r="J100" s="3">
        <v>7</v>
      </c>
      <c r="K100" s="3">
        <v>8</v>
      </c>
      <c r="L100" s="3">
        <v>9</v>
      </c>
    </row>
    <row r="101" spans="2:12" x14ac:dyDescent="0.2">
      <c r="B101" s="4">
        <v>2016</v>
      </c>
      <c r="C101" s="5">
        <v>535119</v>
      </c>
      <c r="D101" s="5">
        <v>889854</v>
      </c>
      <c r="E101" s="5">
        <v>1069722</v>
      </c>
      <c r="F101" s="5">
        <v>1212667</v>
      </c>
      <c r="G101" s="5">
        <v>1306580</v>
      </c>
      <c r="H101" s="5">
        <v>1369306</v>
      </c>
      <c r="I101" s="5">
        <v>1406774</v>
      </c>
      <c r="J101" s="5">
        <v>1439814</v>
      </c>
      <c r="K101" s="5">
        <v>1476601</v>
      </c>
      <c r="L101" s="5">
        <v>1487593</v>
      </c>
    </row>
    <row r="102" spans="2:12" x14ac:dyDescent="0.2">
      <c r="B102" s="4">
        <v>2017</v>
      </c>
      <c r="C102" s="5">
        <v>624290</v>
      </c>
      <c r="D102" s="5">
        <v>1073168</v>
      </c>
      <c r="E102" s="5">
        <v>1254747</v>
      </c>
      <c r="F102" s="5">
        <v>1416260</v>
      </c>
      <c r="G102" s="5">
        <v>1559126</v>
      </c>
      <c r="H102" s="5">
        <v>1645892</v>
      </c>
      <c r="I102" s="5">
        <v>1697522</v>
      </c>
      <c r="J102" s="5">
        <v>1725559</v>
      </c>
      <c r="K102" s="5">
        <v>1747291</v>
      </c>
      <c r="L102" s="5">
        <v>0</v>
      </c>
    </row>
    <row r="103" spans="2:12" x14ac:dyDescent="0.2">
      <c r="B103" s="4">
        <v>2018</v>
      </c>
      <c r="C103" s="5">
        <v>726805</v>
      </c>
      <c r="D103" s="5">
        <v>1215497</v>
      </c>
      <c r="E103" s="5">
        <v>1413621</v>
      </c>
      <c r="F103" s="5">
        <v>1577207</v>
      </c>
      <c r="G103" s="5">
        <v>1719450</v>
      </c>
      <c r="H103" s="5">
        <v>1822813</v>
      </c>
      <c r="I103" s="5">
        <v>1892738</v>
      </c>
      <c r="J103" s="5">
        <v>1927593</v>
      </c>
      <c r="K103" s="5">
        <v>0</v>
      </c>
      <c r="L103" s="5">
        <v>0</v>
      </c>
    </row>
    <row r="104" spans="2:12" x14ac:dyDescent="0.2">
      <c r="B104" s="4">
        <v>2019</v>
      </c>
      <c r="C104" s="5">
        <v>635033</v>
      </c>
      <c r="D104" s="5">
        <v>1094316</v>
      </c>
      <c r="E104" s="5">
        <v>1321857</v>
      </c>
      <c r="F104" s="5">
        <v>1527417</v>
      </c>
      <c r="G104" s="5">
        <v>1699256</v>
      </c>
      <c r="H104" s="5">
        <v>1812344</v>
      </c>
      <c r="I104" s="5">
        <v>1869999</v>
      </c>
      <c r="J104" s="5">
        <v>0</v>
      </c>
      <c r="K104" s="5">
        <v>0</v>
      </c>
      <c r="L104" s="5">
        <v>0</v>
      </c>
    </row>
    <row r="105" spans="2:12" x14ac:dyDescent="0.2">
      <c r="B105" s="4">
        <v>2020</v>
      </c>
      <c r="C105" s="5">
        <v>716522</v>
      </c>
      <c r="D105" s="5">
        <v>1090358</v>
      </c>
      <c r="E105" s="5">
        <v>1276421</v>
      </c>
      <c r="F105" s="5">
        <v>1443828</v>
      </c>
      <c r="G105" s="5">
        <v>1580582</v>
      </c>
      <c r="H105" s="5">
        <v>1684703</v>
      </c>
      <c r="I105" s="5">
        <v>0</v>
      </c>
      <c r="J105" s="5">
        <v>0</v>
      </c>
      <c r="K105" s="5">
        <v>0</v>
      </c>
      <c r="L105" s="5">
        <v>0</v>
      </c>
    </row>
    <row r="106" spans="2:12" x14ac:dyDescent="0.2">
      <c r="B106" s="4">
        <v>2021</v>
      </c>
      <c r="C106" s="5">
        <v>695612</v>
      </c>
      <c r="D106" s="5">
        <v>1148370</v>
      </c>
      <c r="E106" s="5">
        <v>1374949</v>
      </c>
      <c r="F106" s="5">
        <v>1551860</v>
      </c>
      <c r="G106" s="5">
        <v>1695571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</row>
    <row r="107" spans="2:12" x14ac:dyDescent="0.2">
      <c r="B107" s="4">
        <v>2022</v>
      </c>
      <c r="C107" s="5">
        <v>752726</v>
      </c>
      <c r="D107" s="5">
        <v>1406842</v>
      </c>
      <c r="E107" s="5">
        <v>1676646</v>
      </c>
      <c r="F107" s="5">
        <v>1889346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</row>
    <row r="108" spans="2:12" x14ac:dyDescent="0.2">
      <c r="B108" s="4">
        <v>2023</v>
      </c>
      <c r="C108" s="5">
        <v>863215</v>
      </c>
      <c r="D108" s="5">
        <v>1523879</v>
      </c>
      <c r="E108" s="5">
        <v>1812323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</row>
    <row r="109" spans="2:12" x14ac:dyDescent="0.2">
      <c r="B109" s="4">
        <v>2024</v>
      </c>
      <c r="C109" s="5">
        <v>838350</v>
      </c>
      <c r="D109" s="5">
        <v>1459803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</row>
    <row r="110" spans="2:12" x14ac:dyDescent="0.2">
      <c r="B110" s="4">
        <v>2025</v>
      </c>
      <c r="C110" s="5">
        <v>844154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135B3-5919-CA4C-B646-1C3724814E75}">
  <dimension ref="C8:F110"/>
  <sheetViews>
    <sheetView workbookViewId="0">
      <selection activeCell="F9" sqref="F9:F18"/>
    </sheetView>
  </sheetViews>
  <sheetFormatPr baseColWidth="10" defaultRowHeight="16" x14ac:dyDescent="0.2"/>
  <cols>
    <col min="3" max="3" width="36.1640625" bestFit="1" customWidth="1"/>
    <col min="4" max="4" width="16.83203125" customWidth="1"/>
    <col min="5" max="5" width="35" bestFit="1" customWidth="1"/>
  </cols>
  <sheetData>
    <row r="8" spans="3:6" x14ac:dyDescent="0.2">
      <c r="C8" s="7" t="s">
        <v>7</v>
      </c>
      <c r="E8" s="7" t="s">
        <v>8</v>
      </c>
    </row>
    <row r="9" spans="3:6" x14ac:dyDescent="0.2">
      <c r="C9" s="7" t="s">
        <v>9</v>
      </c>
      <c r="D9">
        <f>SUM('Loss Development'!D9:D17)/SUM('Loss Development'!C9:C17)</f>
        <v>1.5609096463891521</v>
      </c>
      <c r="E9" s="8" t="s">
        <v>10</v>
      </c>
      <c r="F9">
        <f>PRODUCT(D9:D17)</f>
        <v>2.3819593010113542</v>
      </c>
    </row>
    <row r="10" spans="3:6" x14ac:dyDescent="0.2">
      <c r="C10" s="7" t="s">
        <v>11</v>
      </c>
      <c r="D10">
        <f>SUM('Loss Development'!E9:E16)/SUM('Loss Development'!D9:D16)</f>
        <v>1.1686695324337288</v>
      </c>
      <c r="E10" t="s">
        <v>12</v>
      </c>
      <c r="F10">
        <f>PRODUCT(D10:D17)</f>
        <v>1.5260071628883416</v>
      </c>
    </row>
    <row r="11" spans="3:6" x14ac:dyDescent="0.2">
      <c r="C11" s="7" t="s">
        <v>13</v>
      </c>
      <c r="D11">
        <f>SUM('Loss Development'!F9:F15)/SUM('Loss Development'!E9:E15)</f>
        <v>1.1041308978612665</v>
      </c>
      <c r="E11" t="s">
        <v>14</v>
      </c>
      <c r="F11">
        <f>PRODUCT(D11:D17)</f>
        <v>1.305764478783378</v>
      </c>
    </row>
    <row r="12" spans="3:6" x14ac:dyDescent="0.2">
      <c r="C12" s="7" t="s">
        <v>15</v>
      </c>
      <c r="D12">
        <f>SUM('Loss Development'!G9:G14)/SUM('Loss Development'!F9:F14)</f>
        <v>1.0688789646816186</v>
      </c>
      <c r="E12" t="s">
        <v>16</v>
      </c>
      <c r="F12">
        <f>PRODUCT(D12:D17)</f>
        <v>1.1826174607672706</v>
      </c>
    </row>
    <row r="13" spans="3:6" x14ac:dyDescent="0.2">
      <c r="C13" s="7" t="s">
        <v>17</v>
      </c>
      <c r="D13">
        <f>SUM('Loss Development'!H9:H13)/SUM('Loss Development'!G9:G13)</f>
        <v>1.042680636394548</v>
      </c>
      <c r="E13" t="s">
        <v>18</v>
      </c>
      <c r="F13">
        <f>PRODUCT(D13:D17)</f>
        <v>1.1064091443875788</v>
      </c>
    </row>
    <row r="14" spans="3:6" x14ac:dyDescent="0.2">
      <c r="C14" s="7" t="s">
        <v>19</v>
      </c>
      <c r="D14">
        <f>SUM('Loss Development'!I9:I12)/SUM('Loss Development'!H9:H12)</f>
        <v>1.0264346832079687</v>
      </c>
      <c r="E14" t="s">
        <v>20</v>
      </c>
      <c r="F14">
        <f>PRODUCT(D14:D17)</f>
        <v>1.0611198729204327</v>
      </c>
    </row>
    <row r="15" spans="3:6" x14ac:dyDescent="0.2">
      <c r="C15" s="7" t="s">
        <v>21</v>
      </c>
      <c r="D15">
        <f>SUM('Loss Development'!J9:J11)/SUM('Loss Development'!I9:I11)</f>
        <v>1.0148569388298176</v>
      </c>
      <c r="E15" t="s">
        <v>22</v>
      </c>
      <c r="F15">
        <f>PRODUCT(D15:D17)</f>
        <v>1.0337919112437439</v>
      </c>
    </row>
    <row r="16" spans="3:6" x14ac:dyDescent="0.2">
      <c r="C16" s="7" t="s">
        <v>23</v>
      </c>
      <c r="D16">
        <f>SUM('Loss Development'!K9:K10)/SUM('Loss Development'!J9:J10)</f>
        <v>1.0107069070296804</v>
      </c>
      <c r="E16" t="s">
        <v>24</v>
      </c>
      <c r="F16">
        <f>PRODUCT(D16:D17)</f>
        <v>1.0186577749921673</v>
      </c>
    </row>
    <row r="17" spans="3:6" x14ac:dyDescent="0.2">
      <c r="C17" s="7" t="s">
        <v>25</v>
      </c>
      <c r="D17">
        <f>SUM('Loss Development'!L9)/SUM('Loss Development'!K9)</f>
        <v>1.0078666405732333</v>
      </c>
      <c r="E17" t="s">
        <v>26</v>
      </c>
      <c r="F17">
        <f>PRODUCT(D17)</f>
        <v>1.0078666405732333</v>
      </c>
    </row>
    <row r="18" spans="3:6" x14ac:dyDescent="0.2">
      <c r="C18" s="7" t="s">
        <v>27</v>
      </c>
      <c r="D18">
        <v>1</v>
      </c>
      <c r="E18" t="s">
        <v>28</v>
      </c>
      <c r="F18">
        <v>1</v>
      </c>
    </row>
    <row r="28" spans="3:6" x14ac:dyDescent="0.2">
      <c r="C28" s="7" t="s">
        <v>7</v>
      </c>
      <c r="E28" s="7" t="s">
        <v>8</v>
      </c>
    </row>
    <row r="29" spans="3:6" x14ac:dyDescent="0.2">
      <c r="C29" s="7" t="s">
        <v>9</v>
      </c>
      <c r="D29">
        <f>SUM('Loss Development'!D29:D37)/SUM('Loss Development'!C29:C37)</f>
        <v>1.372146892415139</v>
      </c>
      <c r="E29" s="8" t="s">
        <v>10</v>
      </c>
      <c r="F29">
        <f>PRODUCT(D29:D37)</f>
        <v>1.4524453975318192</v>
      </c>
    </row>
    <row r="30" spans="3:6" x14ac:dyDescent="0.2">
      <c r="C30" s="7" t="s">
        <v>11</v>
      </c>
      <c r="D30">
        <f>SUM('Loss Development'!E29:E36)/SUM('Loss Development'!D29:D36)</f>
        <v>1.0388793983245284</v>
      </c>
      <c r="E30" t="s">
        <v>12</v>
      </c>
      <c r="F30">
        <f>PRODUCT(D30:D37)</f>
        <v>1.0585203417801323</v>
      </c>
    </row>
    <row r="31" spans="3:6" x14ac:dyDescent="0.2">
      <c r="C31" s="7" t="s">
        <v>13</v>
      </c>
      <c r="D31">
        <f>SUM('Loss Development'!F29:F35)/SUM('Loss Development'!E29:E35)</f>
        <v>1.0043252222222048</v>
      </c>
      <c r="E31" t="s">
        <v>14</v>
      </c>
      <c r="F31">
        <f>PRODUCT(D31:D37)</f>
        <v>1.0189058936843682</v>
      </c>
    </row>
    <row r="32" spans="3:6" x14ac:dyDescent="0.2">
      <c r="C32" s="7" t="s">
        <v>15</v>
      </c>
      <c r="D32">
        <f>SUM('Loss Development'!G29:G34)/SUM('Loss Development'!F29:F34)</f>
        <v>1.0067545314219597</v>
      </c>
      <c r="E32" t="s">
        <v>16</v>
      </c>
      <c r="F32">
        <f>PRODUCT(D32:D37)</f>
        <v>1.0145178784118374</v>
      </c>
    </row>
    <row r="33" spans="3:6" x14ac:dyDescent="0.2">
      <c r="C33" s="7" t="s">
        <v>17</v>
      </c>
      <c r="D33">
        <f>SUM('Loss Development'!H29:H33)/SUM('Loss Development'!G29:G33)</f>
        <v>1.0032207713578649</v>
      </c>
      <c r="E33" t="s">
        <v>18</v>
      </c>
      <c r="F33">
        <f>PRODUCT(D33:D37)</f>
        <v>1.0077112610349144</v>
      </c>
    </row>
    <row r="34" spans="3:6" x14ac:dyDescent="0.2">
      <c r="C34" s="7" t="s">
        <v>19</v>
      </c>
      <c r="D34">
        <f>SUM('Loss Development'!I29:I32)/SUM('Loss Development'!H29:H32)</f>
        <v>1.0013375395513187</v>
      </c>
      <c r="E34" t="s">
        <v>20</v>
      </c>
      <c r="F34">
        <f>PRODUCT(D34:D37)</f>
        <v>1.0044760732684708</v>
      </c>
    </row>
    <row r="35" spans="3:6" x14ac:dyDescent="0.2">
      <c r="C35" s="7" t="s">
        <v>21</v>
      </c>
      <c r="D35">
        <f>SUM('Loss Development'!J29:J31)/SUM('Loss Development'!I29:I31)</f>
        <v>1.001757077964929</v>
      </c>
      <c r="E35" t="s">
        <v>22</v>
      </c>
      <c r="F35">
        <f>PRODUCT(D35:D37)</f>
        <v>1.003134341411547</v>
      </c>
    </row>
    <row r="36" spans="3:6" x14ac:dyDescent="0.2">
      <c r="C36" s="7" t="s">
        <v>23</v>
      </c>
      <c r="D36">
        <f>SUM('Loss Development'!K29:K30)/SUM('Loss Development'!J29:J30)</f>
        <v>1.0009226355062455</v>
      </c>
      <c r="E36" t="s">
        <v>24</v>
      </c>
      <c r="F36">
        <f>PRODUCT(D36:D37)</f>
        <v>1.0013748477319628</v>
      </c>
    </row>
    <row r="37" spans="3:6" x14ac:dyDescent="0.2">
      <c r="C37" s="7" t="s">
        <v>25</v>
      </c>
      <c r="D37">
        <f>SUM('Loss Development'!L29)/SUM('Loss Development'!K29)</f>
        <v>1.0004517953832552</v>
      </c>
      <c r="E37" t="s">
        <v>26</v>
      </c>
      <c r="F37">
        <f>PRODUCT(D37)</f>
        <v>1.0004517953832552</v>
      </c>
    </row>
    <row r="38" spans="3:6" x14ac:dyDescent="0.2">
      <c r="C38" s="7" t="s">
        <v>27</v>
      </c>
      <c r="D38">
        <v>1</v>
      </c>
      <c r="E38" t="s">
        <v>28</v>
      </c>
      <c r="F38">
        <v>1</v>
      </c>
    </row>
    <row r="46" spans="3:6" x14ac:dyDescent="0.2">
      <c r="C46" s="7" t="s">
        <v>7</v>
      </c>
      <c r="E46" s="7" t="s">
        <v>8</v>
      </c>
    </row>
    <row r="47" spans="3:6" x14ac:dyDescent="0.2">
      <c r="C47" s="7" t="s">
        <v>9</v>
      </c>
      <c r="D47">
        <f>SUM('Loss Development'!D47:D55)/SUM('Loss Development'!C47:C55)</f>
        <v>1.9950936590211841</v>
      </c>
      <c r="E47" s="8" t="s">
        <v>10</v>
      </c>
      <c r="F47">
        <f>PRODUCT(D47:D55)</f>
        <v>2.9511515950193643</v>
      </c>
    </row>
    <row r="48" spans="3:6" x14ac:dyDescent="0.2">
      <c r="C48" s="7" t="s">
        <v>11</v>
      </c>
      <c r="D48">
        <f>SUM('Loss Development'!E47:E54)/SUM('Loss Development'!D47:D54)</f>
        <v>1.2363605298609213</v>
      </c>
      <c r="E48" t="s">
        <v>12</v>
      </c>
      <c r="F48">
        <f>PRODUCT(D48:D55)</f>
        <v>1.4792045384311596</v>
      </c>
    </row>
    <row r="49" spans="3:6" x14ac:dyDescent="0.2">
      <c r="C49" s="7" t="s">
        <v>13</v>
      </c>
      <c r="D49">
        <f>SUM('Loss Development'!F47:F53)/SUM('Loss Development'!E47:E53)</f>
        <v>1.1016179027934005</v>
      </c>
      <c r="E49" t="s">
        <v>14</v>
      </c>
      <c r="F49">
        <f>PRODUCT(D49:D55)</f>
        <v>1.1964184416317107</v>
      </c>
    </row>
    <row r="50" spans="3:6" x14ac:dyDescent="0.2">
      <c r="C50" s="7" t="s">
        <v>15</v>
      </c>
      <c r="D50">
        <f>SUM('Loss Development'!G47:G52)/SUM('Loss Development'!F47:F52)</f>
        <v>1.046979755333419</v>
      </c>
      <c r="E50" t="s">
        <v>16</v>
      </c>
      <c r="F50">
        <f>PRODUCT(D50:D55)</f>
        <v>1.0860557354759051</v>
      </c>
    </row>
    <row r="51" spans="3:6" x14ac:dyDescent="0.2">
      <c r="C51" s="7" t="s">
        <v>17</v>
      </c>
      <c r="D51">
        <f>SUM('Loss Development'!H47:H51)/SUM('Loss Development'!G47:G51)</f>
        <v>1.0217926560838766</v>
      </c>
      <c r="E51" t="s">
        <v>18</v>
      </c>
      <c r="F51">
        <f>PRODUCT(D51:D55)</f>
        <v>1.0373225747140089</v>
      </c>
    </row>
    <row r="52" spans="3:6" x14ac:dyDescent="0.2">
      <c r="C52" s="7" t="s">
        <v>19</v>
      </c>
      <c r="D52">
        <f>SUM('Loss Development'!I47:I50)/SUM('Loss Development'!H47:H50)</f>
        <v>1.0095719962251866</v>
      </c>
      <c r="E52" t="s">
        <v>20</v>
      </c>
      <c r="F52">
        <f>PRODUCT(D52:D55)</f>
        <v>1.0151986986182227</v>
      </c>
    </row>
    <row r="53" spans="3:6" x14ac:dyDescent="0.2">
      <c r="C53" s="7" t="s">
        <v>21</v>
      </c>
      <c r="D53">
        <f>SUM('Loss Development'!J47:J49)/SUM('Loss Development'!I47:I49)</f>
        <v>1.0032737772416676</v>
      </c>
      <c r="E53" t="s">
        <v>22</v>
      </c>
      <c r="F53">
        <f>PRODUCT(D53:D55)</f>
        <v>1.0055733542670307</v>
      </c>
    </row>
    <row r="54" spans="3:6" x14ac:dyDescent="0.2">
      <c r="C54" s="7" t="s">
        <v>23</v>
      </c>
      <c r="D54">
        <f>SUM('Loss Development'!K47:K48)/SUM('Loss Development'!J47:J48)</f>
        <v>1.001587068957621</v>
      </c>
      <c r="E54" t="s">
        <v>24</v>
      </c>
      <c r="F54">
        <f>PRODUCT(D54:D55)</f>
        <v>1.0022920732879965</v>
      </c>
    </row>
    <row r="55" spans="3:6" x14ac:dyDescent="0.2">
      <c r="C55" s="7" t="s">
        <v>25</v>
      </c>
      <c r="D55">
        <f>SUM('Loss Development'!L47)/SUM('Loss Development'!K47)</f>
        <v>1.0007038872128304</v>
      </c>
      <c r="E55" t="s">
        <v>26</v>
      </c>
      <c r="F55">
        <f>PRODUCT(D55)</f>
        <v>1.0007038872128304</v>
      </c>
    </row>
    <row r="56" spans="3:6" x14ac:dyDescent="0.2">
      <c r="C56" s="7" t="s">
        <v>27</v>
      </c>
      <c r="D56">
        <v>1</v>
      </c>
      <c r="E56" t="s">
        <v>28</v>
      </c>
      <c r="F56">
        <v>1</v>
      </c>
    </row>
    <row r="64" spans="3:6" x14ac:dyDescent="0.2">
      <c r="C64" s="7" t="s">
        <v>7</v>
      </c>
      <c r="E64" s="7" t="s">
        <v>8</v>
      </c>
    </row>
    <row r="65" spans="3:6" x14ac:dyDescent="0.2">
      <c r="C65" s="7" t="s">
        <v>9</v>
      </c>
      <c r="D65">
        <f>SUM('Loss Development'!D65:D73)/SUM('Loss Development'!C65:C73)</f>
        <v>2.5890497345109309</v>
      </c>
      <c r="E65" s="8" t="s">
        <v>10</v>
      </c>
      <c r="F65">
        <f>PRODUCT(D65:D73)</f>
        <v>7.4946462213755742</v>
      </c>
    </row>
    <row r="66" spans="3:6" x14ac:dyDescent="0.2">
      <c r="C66" s="7" t="s">
        <v>11</v>
      </c>
      <c r="D66">
        <f>SUM('Loss Development'!E65:E72)/SUM('Loss Development'!D65:D72)</f>
        <v>1.6327859297617595</v>
      </c>
      <c r="E66" t="s">
        <v>12</v>
      </c>
      <c r="F66">
        <f>PRODUCT(D66:D73)</f>
        <v>2.8947478765954671</v>
      </c>
    </row>
    <row r="67" spans="3:6" x14ac:dyDescent="0.2">
      <c r="C67" s="7" t="s">
        <v>13</v>
      </c>
      <c r="D67">
        <f>SUM('Loss Development'!F65:F71)/SUM('Loss Development'!E65:E71)</f>
        <v>1.3194014608364641</v>
      </c>
      <c r="E67" t="s">
        <v>14</v>
      </c>
      <c r="F67">
        <f>PRODUCT(D67:D73)</f>
        <v>1.7728887932160471</v>
      </c>
    </row>
    <row r="68" spans="3:6" x14ac:dyDescent="0.2">
      <c r="C68" s="7" t="s">
        <v>15</v>
      </c>
      <c r="D68">
        <f>SUM('Loss Development'!G65:G70)/SUM('Loss Development'!F65:F70)</f>
        <v>1.1612715823963244</v>
      </c>
      <c r="E68" t="s">
        <v>16</v>
      </c>
      <c r="F68">
        <f>PRODUCT(D68:D73)</f>
        <v>1.3437068593906849</v>
      </c>
    </row>
    <row r="69" spans="3:6" x14ac:dyDescent="0.2">
      <c r="C69" s="7" t="s">
        <v>17</v>
      </c>
      <c r="D69">
        <f>SUM('Loss Development'!H65:H69)/SUM('Loss Development'!G65:G69)</f>
        <v>1.0732277829030088</v>
      </c>
      <c r="E69" t="s">
        <v>18</v>
      </c>
      <c r="F69">
        <f>PRODUCT(D69:D73)</f>
        <v>1.1570995792542333</v>
      </c>
    </row>
    <row r="70" spans="3:6" x14ac:dyDescent="0.2">
      <c r="C70" s="7" t="s">
        <v>19</v>
      </c>
      <c r="D70">
        <f>SUM('Loss Development'!I65:I68)/SUM('Loss Development'!H65:H68)</f>
        <v>1.0410056719652629</v>
      </c>
      <c r="E70" t="s">
        <v>20</v>
      </c>
      <c r="F70">
        <f>PRODUCT(D70:D73)</f>
        <v>1.0781491102702887</v>
      </c>
    </row>
    <row r="71" spans="3:6" x14ac:dyDescent="0.2">
      <c r="C71" s="7" t="s">
        <v>21</v>
      </c>
      <c r="D71">
        <f>SUM('Loss Development'!J65:J67)/SUM('Loss Development'!I65:I67)</f>
        <v>1.0180642144434822</v>
      </c>
      <c r="E71" t="s">
        <v>22</v>
      </c>
      <c r="F71">
        <f>PRODUCT(D71:D73)</f>
        <v>1.035680341909093</v>
      </c>
    </row>
    <row r="72" spans="3:6" x14ac:dyDescent="0.2">
      <c r="C72" s="7" t="s">
        <v>23</v>
      </c>
      <c r="D72">
        <f>SUM('Loss Development'!K65:K66)/SUM('Loss Development'!J65:J66)</f>
        <v>1.009158812095353</v>
      </c>
      <c r="E72" t="s">
        <v>24</v>
      </c>
      <c r="F72">
        <f>PRODUCT(D72:D73)</f>
        <v>1.0173035523846996</v>
      </c>
    </row>
    <row r="73" spans="3:6" x14ac:dyDescent="0.2">
      <c r="C73" s="7" t="s">
        <v>25</v>
      </c>
      <c r="D73">
        <f>SUM('Loss Development'!L65)/SUM('Loss Development'!K65)</f>
        <v>1.0080708211549334</v>
      </c>
      <c r="E73" t="s">
        <v>26</v>
      </c>
      <c r="F73">
        <f>PRODUCT(D73)</f>
        <v>1.0080708211549334</v>
      </c>
    </row>
    <row r="74" spans="3:6" x14ac:dyDescent="0.2">
      <c r="C74" s="7" t="s">
        <v>27</v>
      </c>
      <c r="D74">
        <v>1</v>
      </c>
      <c r="E74" t="s">
        <v>28</v>
      </c>
      <c r="F74">
        <v>1</v>
      </c>
    </row>
    <row r="82" spans="3:6" x14ac:dyDescent="0.2">
      <c r="C82" s="7" t="s">
        <v>7</v>
      </c>
      <c r="E82" s="7" t="s">
        <v>8</v>
      </c>
    </row>
    <row r="83" spans="3:6" x14ac:dyDescent="0.2">
      <c r="C83" s="7" t="s">
        <v>9</v>
      </c>
      <c r="D83">
        <f>SUM('Loss Development'!D83:D91)/SUM('Loss Development'!C83:C91)</f>
        <v>2.0776997043904526</v>
      </c>
      <c r="E83" s="8" t="s">
        <v>10</v>
      </c>
      <c r="F83">
        <f>PRODUCT(D83:D91)</f>
        <v>3.8054897894556809</v>
      </c>
    </row>
    <row r="84" spans="3:6" x14ac:dyDescent="0.2">
      <c r="C84" s="7" t="s">
        <v>11</v>
      </c>
      <c r="D84">
        <f>SUM('Loss Development'!E83:E90)/SUM('Loss Development'!D83:D90)</f>
        <v>1.2844112200809272</v>
      </c>
      <c r="E84" t="s">
        <v>12</v>
      </c>
      <c r="F84">
        <f>PRODUCT(D84:D91)</f>
        <v>1.8315879727056712</v>
      </c>
    </row>
    <row r="85" spans="3:6" x14ac:dyDescent="0.2">
      <c r="C85" s="7" t="s">
        <v>13</v>
      </c>
      <c r="D85">
        <f>SUM('Loss Development'!F83:F89)/SUM('Loss Development'!E83:E89)</f>
        <v>1.1416248658851988</v>
      </c>
      <c r="E85" t="s">
        <v>14</v>
      </c>
      <c r="F85">
        <f>PRODUCT(D85:D91)</f>
        <v>1.4260136816542819</v>
      </c>
    </row>
    <row r="86" spans="3:6" x14ac:dyDescent="0.2">
      <c r="C86" s="7" t="s">
        <v>15</v>
      </c>
      <c r="D86">
        <f>SUM('Loss Development'!G83:G88)/SUM('Loss Development'!F83:F88)</f>
        <v>1.082127005065747</v>
      </c>
      <c r="E86" t="s">
        <v>16</v>
      </c>
      <c r="F86">
        <f>PRODUCT(D86:D91)</f>
        <v>1.2491088134705022</v>
      </c>
    </row>
    <row r="87" spans="3:6" x14ac:dyDescent="0.2">
      <c r="C87" s="7" t="s">
        <v>17</v>
      </c>
      <c r="D87">
        <f>SUM('Loss Development'!H83:H87)/SUM('Loss Development'!G83:G87)</f>
        <v>1.0502880498891201</v>
      </c>
      <c r="E87" t="s">
        <v>18</v>
      </c>
      <c r="F87">
        <f>PRODUCT(D87:D91)</f>
        <v>1.1543088820656591</v>
      </c>
    </row>
    <row r="88" spans="3:6" x14ac:dyDescent="0.2">
      <c r="C88" s="7" t="s">
        <v>19</v>
      </c>
      <c r="D88">
        <f>SUM('Loss Development'!I83:I86)/SUM('Loss Development'!H83:H86)</f>
        <v>1.0354212095918895</v>
      </c>
      <c r="E88" t="s">
        <v>20</v>
      </c>
      <c r="F88">
        <f>PRODUCT(D88:D91)</f>
        <v>1.0990402891735467</v>
      </c>
    </row>
    <row r="89" spans="3:6" x14ac:dyDescent="0.2">
      <c r="C89" s="7" t="s">
        <v>21</v>
      </c>
      <c r="D89">
        <f>SUM('Loss Development'!J83:J85)/SUM('Loss Development'!I83:I85)</f>
        <v>1.025046578160463</v>
      </c>
      <c r="E89" t="s">
        <v>22</v>
      </c>
      <c r="F89">
        <f>PRODUCT(D89:D91)</f>
        <v>1.0614427046619344</v>
      </c>
    </row>
    <row r="90" spans="3:6" x14ac:dyDescent="0.2">
      <c r="C90" s="7" t="s">
        <v>23</v>
      </c>
      <c r="D90">
        <f>SUM('Loss Development'!K83:K84)/SUM('Loss Development'!J83:J84)</f>
        <v>1.0188415808830684</v>
      </c>
      <c r="E90" t="s">
        <v>24</v>
      </c>
      <c r="F90">
        <f>PRODUCT(D90:D91)</f>
        <v>1.0355068025950465</v>
      </c>
    </row>
    <row r="91" spans="3:6" x14ac:dyDescent="0.2">
      <c r="C91" s="7" t="s">
        <v>25</v>
      </c>
      <c r="D91">
        <f>SUM('Loss Development'!L83)/SUM('Loss Development'!K83)</f>
        <v>1.0163570294191699</v>
      </c>
      <c r="E91" t="s">
        <v>26</v>
      </c>
      <c r="F91">
        <f>PRODUCT(D91)</f>
        <v>1.0163570294191699</v>
      </c>
    </row>
    <row r="92" spans="3:6" x14ac:dyDescent="0.2">
      <c r="C92" s="7" t="s">
        <v>27</v>
      </c>
      <c r="D92">
        <v>1</v>
      </c>
      <c r="E92" t="s">
        <v>28</v>
      </c>
      <c r="F92">
        <v>1</v>
      </c>
    </row>
    <row r="100" spans="3:6" x14ac:dyDescent="0.2">
      <c r="C100" s="7" t="s">
        <v>7</v>
      </c>
      <c r="E100" s="7" t="s">
        <v>8</v>
      </c>
    </row>
    <row r="101" spans="3:6" x14ac:dyDescent="0.2">
      <c r="C101" s="7" t="s">
        <v>9</v>
      </c>
      <c r="D101">
        <f>SUM('Loss Development'!D101:D109)/SUM('Loss Development'!C101:C109)</f>
        <v>1.7067386991692748</v>
      </c>
      <c r="E101" s="8" t="s">
        <v>10</v>
      </c>
      <c r="F101">
        <f>PRODUCT(D101:D109)</f>
        <v>2.8700608858031149</v>
      </c>
    </row>
    <row r="102" spans="3:6" x14ac:dyDescent="0.2">
      <c r="C102" s="7" t="s">
        <v>11</v>
      </c>
      <c r="D102">
        <f>SUM('Loss Development'!E101:E108)/SUM('Loss Development'!D101:D108)</f>
        <v>1.1861839783679458</v>
      </c>
      <c r="E102" t="s">
        <v>12</v>
      </c>
      <c r="F102">
        <f>PRODUCT(D102:D109)</f>
        <v>1.6816053255252648</v>
      </c>
    </row>
    <row r="103" spans="3:6" x14ac:dyDescent="0.2">
      <c r="C103" s="7" t="s">
        <v>13</v>
      </c>
      <c r="D103">
        <f>SUM('Loss Development'!F101:F107)/SUM('Loss Development'!E101:E107)</f>
        <v>1.1310850926873062</v>
      </c>
      <c r="E103" t="s">
        <v>14</v>
      </c>
      <c r="F103">
        <f>PRODUCT(D103:D109)</f>
        <v>1.4176597865020588</v>
      </c>
    </row>
    <row r="104" spans="3:6" x14ac:dyDescent="0.2">
      <c r="C104" s="7" t="s">
        <v>15</v>
      </c>
      <c r="D104">
        <f>SUM('Loss Development'!G101:G106)/SUM('Loss Development'!F101:F106)</f>
        <v>1.0952346476021564</v>
      </c>
      <c r="E104" t="s">
        <v>16</v>
      </c>
      <c r="F104">
        <f>PRODUCT(D104:D109)</f>
        <v>1.2533626299802869</v>
      </c>
    </row>
    <row r="105" spans="3:6" x14ac:dyDescent="0.2">
      <c r="C105" s="7" t="s">
        <v>17</v>
      </c>
      <c r="D105">
        <f>SUM('Loss Development'!H101:H105)/SUM('Loss Development'!G101:G105)</f>
        <v>1.0597666063063749</v>
      </c>
      <c r="E105" t="s">
        <v>18</v>
      </c>
      <c r="F105">
        <f>PRODUCT(D105:D109)</f>
        <v>1.1443781775205222</v>
      </c>
    </row>
    <row r="106" spans="3:6" x14ac:dyDescent="0.2">
      <c r="C106" s="7" t="s">
        <v>19</v>
      </c>
      <c r="D106">
        <f>SUM('Loss Development'!I101:I104)/SUM('Loss Development'!H101:H104)</f>
        <v>1.032581418585925</v>
      </c>
      <c r="E106" t="s">
        <v>20</v>
      </c>
      <c r="F106">
        <f>PRODUCT(D106:D109)</f>
        <v>1.0798398163431906</v>
      </c>
    </row>
    <row r="107" spans="3:6" x14ac:dyDescent="0.2">
      <c r="C107" s="7" t="s">
        <v>21</v>
      </c>
      <c r="D107">
        <f>SUM('Loss Development'!J101:J103)/SUM('Loss Development'!I101:I103)</f>
        <v>1.0191977881279175</v>
      </c>
      <c r="E107" t="s">
        <v>22</v>
      </c>
      <c r="F107">
        <f>PRODUCT(D107:D109)</f>
        <v>1.0457672362746793</v>
      </c>
    </row>
    <row r="108" spans="3:6" x14ac:dyDescent="0.2">
      <c r="C108" s="7" t="s">
        <v>23</v>
      </c>
      <c r="D108">
        <f>SUM('Loss Development'!K101:K102)/SUM('Loss Development'!J101:J102)</f>
        <v>1.018487236733238</v>
      </c>
      <c r="E108" t="s">
        <v>24</v>
      </c>
      <c r="F108">
        <f>PRODUCT(D108:D109)</f>
        <v>1.0260689813657906</v>
      </c>
    </row>
    <row r="109" spans="3:6" x14ac:dyDescent="0.2">
      <c r="C109" s="7" t="s">
        <v>25</v>
      </c>
      <c r="D109">
        <f>SUM('Loss Development'!L101)/SUM('Loss Development'!K101)</f>
        <v>1.0074441233616935</v>
      </c>
      <c r="E109" t="s">
        <v>26</v>
      </c>
      <c r="F109">
        <f>PRODUCT(D109)</f>
        <v>1.0074441233616935</v>
      </c>
    </row>
    <row r="110" spans="3:6" x14ac:dyDescent="0.2">
      <c r="C110" s="7" t="s">
        <v>27</v>
      </c>
      <c r="D110">
        <v>1</v>
      </c>
      <c r="E110" t="s">
        <v>28</v>
      </c>
      <c r="F1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A35F-111A-C14B-BE1B-EC7CF15115C2}">
  <dimension ref="C8:N111"/>
  <sheetViews>
    <sheetView topLeftCell="A77" workbookViewId="0">
      <selection activeCell="J9" sqref="J9:J19"/>
    </sheetView>
  </sheetViews>
  <sheetFormatPr baseColWidth="10" defaultRowHeight="16" x14ac:dyDescent="0.2"/>
  <cols>
    <col min="3" max="3" width="12.5" bestFit="1" customWidth="1"/>
    <col min="4" max="4" width="24.6640625" bestFit="1" customWidth="1"/>
    <col min="5" max="5" width="20.5" bestFit="1" customWidth="1"/>
    <col min="6" max="6" width="29.83203125" bestFit="1" customWidth="1"/>
    <col min="7" max="7" width="32.33203125" bestFit="1" customWidth="1"/>
    <col min="8" max="8" width="32.5" bestFit="1" customWidth="1"/>
    <col min="9" max="9" width="15.83203125" bestFit="1" customWidth="1"/>
    <col min="10" max="10" width="17.83203125" bestFit="1" customWidth="1"/>
  </cols>
  <sheetData>
    <row r="8" spans="3:14" x14ac:dyDescent="0.2">
      <c r="C8" s="7" t="s">
        <v>29</v>
      </c>
      <c r="D8" s="7" t="s">
        <v>30</v>
      </c>
      <c r="E8" s="7" t="s">
        <v>31</v>
      </c>
      <c r="F8" s="7" t="s">
        <v>32</v>
      </c>
      <c r="G8" s="7" t="s">
        <v>33</v>
      </c>
      <c r="H8" s="7" t="s">
        <v>34</v>
      </c>
      <c r="I8" s="7" t="s">
        <v>35</v>
      </c>
      <c r="J8" s="7" t="s">
        <v>36</v>
      </c>
    </row>
    <row r="9" spans="3:14" x14ac:dyDescent="0.2">
      <c r="C9" s="7">
        <v>2016</v>
      </c>
      <c r="D9" s="9">
        <f>'Loss Development'!L9</f>
        <v>11798741</v>
      </c>
      <c r="E9">
        <v>9</v>
      </c>
      <c r="F9">
        <f>'year to ultimate LDF'!F18</f>
        <v>1</v>
      </c>
      <c r="G9">
        <f t="shared" ref="G9:G18" si="0">PRODUCT(D9,F9)</f>
        <v>11798741</v>
      </c>
      <c r="H9" s="9">
        <f>G9-D9</f>
        <v>0</v>
      </c>
      <c r="I9" s="5">
        <v>22928545</v>
      </c>
      <c r="J9" s="10">
        <f>(G9/I9)*100</f>
        <v>51.458742802912262</v>
      </c>
    </row>
    <row r="10" spans="3:14" x14ac:dyDescent="0.2">
      <c r="C10" s="7">
        <v>2017</v>
      </c>
      <c r="D10" s="9">
        <f>'Loss Development'!K10</f>
        <v>13870301</v>
      </c>
      <c r="E10">
        <v>8</v>
      </c>
      <c r="F10">
        <f>'year to ultimate LDF'!F17</f>
        <v>1.0078666405732333</v>
      </c>
      <c r="G10">
        <f t="shared" si="0"/>
        <v>13979413.672609558</v>
      </c>
      <c r="H10" s="10">
        <f t="shared" ref="H9:H18" si="1">G10-D10</f>
        <v>109112.67260955833</v>
      </c>
      <c r="I10" s="5">
        <v>23974677</v>
      </c>
      <c r="J10" s="10">
        <f t="shared" ref="J10:J19" si="2">(G10/I10)*100</f>
        <v>58.309080337597699</v>
      </c>
    </row>
    <row r="11" spans="3:14" x14ac:dyDescent="0.2">
      <c r="C11" s="7">
        <v>2018</v>
      </c>
      <c r="D11" s="9">
        <f>'Loss Development'!J11</f>
        <v>14589305</v>
      </c>
      <c r="E11">
        <v>7</v>
      </c>
      <c r="F11">
        <f>'year to ultimate LDF'!F16</f>
        <v>1.0186577749921673</v>
      </c>
      <c r="G11">
        <f t="shared" si="0"/>
        <v>14861508.969982101</v>
      </c>
      <c r="H11" s="10">
        <f t="shared" si="1"/>
        <v>272203.96998210065</v>
      </c>
      <c r="I11" s="5">
        <v>25218935</v>
      </c>
      <c r="J11" s="10">
        <f t="shared" si="2"/>
        <v>58.929962625234175</v>
      </c>
    </row>
    <row r="12" spans="3:14" x14ac:dyDescent="0.2">
      <c r="C12" s="7">
        <v>2019</v>
      </c>
      <c r="D12" s="9">
        <f>'Loss Development'!I12</f>
        <v>14995725</v>
      </c>
      <c r="E12">
        <v>6</v>
      </c>
      <c r="F12">
        <f>'year to ultimate LDF'!F15</f>
        <v>1.0337919112437439</v>
      </c>
      <c r="G12">
        <f t="shared" si="0"/>
        <v>15502459.208235592</v>
      </c>
      <c r="H12" s="10">
        <f t="shared" si="1"/>
        <v>506734.20823559165</v>
      </c>
      <c r="I12" s="5">
        <v>26381533</v>
      </c>
      <c r="J12" s="10">
        <f t="shared" si="2"/>
        <v>58.762541237598256</v>
      </c>
    </row>
    <row r="13" spans="3:14" x14ac:dyDescent="0.2">
      <c r="C13" s="7">
        <v>2020</v>
      </c>
      <c r="D13" s="9">
        <f>'Loss Development'!H13</f>
        <v>13452890</v>
      </c>
      <c r="E13">
        <v>5</v>
      </c>
      <c r="F13">
        <f>'year to ultimate LDF'!F14</f>
        <v>1.0611198729204327</v>
      </c>
      <c r="G13">
        <f t="shared" si="0"/>
        <v>14275128.927212561</v>
      </c>
      <c r="H13" s="10">
        <f t="shared" si="1"/>
        <v>822238.92721256055</v>
      </c>
      <c r="I13" s="5">
        <v>27135373</v>
      </c>
      <c r="J13" s="10">
        <f t="shared" si="2"/>
        <v>52.607085692953483</v>
      </c>
    </row>
    <row r="14" spans="3:14" x14ac:dyDescent="0.2">
      <c r="C14" s="7">
        <v>2021</v>
      </c>
      <c r="D14" s="9">
        <f>'Loss Development'!G14</f>
        <v>15019191</v>
      </c>
      <c r="E14">
        <v>4</v>
      </c>
      <c r="F14">
        <f>'year to ultimate LDF'!F13</f>
        <v>1.1064091443875788</v>
      </c>
      <c r="G14">
        <f t="shared" si="0"/>
        <v>16617370.263703624</v>
      </c>
      <c r="H14" s="10">
        <f t="shared" si="1"/>
        <v>1598179.2637036238</v>
      </c>
      <c r="I14" s="5">
        <v>28782907</v>
      </c>
      <c r="J14" s="10">
        <f t="shared" si="2"/>
        <v>57.73346751842552</v>
      </c>
      <c r="N14" s="10"/>
    </row>
    <row r="15" spans="3:14" x14ac:dyDescent="0.2">
      <c r="C15" s="7">
        <v>2022</v>
      </c>
      <c r="D15" s="9">
        <f>'Loss Development'!F15</f>
        <v>16753459</v>
      </c>
      <c r="E15">
        <v>3</v>
      </c>
      <c r="F15">
        <f>'year to ultimate LDF'!F12</f>
        <v>1.1826174607672706</v>
      </c>
      <c r="G15">
        <f t="shared" si="0"/>
        <v>19812933.141648576</v>
      </c>
      <c r="H15" s="10">
        <f t="shared" si="1"/>
        <v>3059474.1416485757</v>
      </c>
      <c r="I15" s="5">
        <v>31715601</v>
      </c>
      <c r="J15" s="10">
        <f t="shared" si="2"/>
        <v>62.470621766393698</v>
      </c>
      <c r="N15" s="10"/>
    </row>
    <row r="16" spans="3:14" x14ac:dyDescent="0.2">
      <c r="C16" s="7">
        <v>2023</v>
      </c>
      <c r="D16" s="9">
        <f>'Loss Development'!E16</f>
        <v>16790693</v>
      </c>
      <c r="E16">
        <v>2</v>
      </c>
      <c r="F16">
        <f>'year to ultimate LDF'!F11</f>
        <v>1.305764478783378</v>
      </c>
      <c r="G16">
        <f t="shared" si="0"/>
        <v>21924690.493556712</v>
      </c>
      <c r="H16" s="10">
        <f t="shared" si="1"/>
        <v>5133997.4935567118</v>
      </c>
      <c r="I16" s="5">
        <v>35642519</v>
      </c>
      <c r="J16" s="10">
        <f t="shared" si="2"/>
        <v>61.512741267127367</v>
      </c>
      <c r="N16" s="10"/>
    </row>
    <row r="17" spans="3:14" x14ac:dyDescent="0.2">
      <c r="C17" s="7">
        <v>2024</v>
      </c>
      <c r="D17" s="9">
        <f>'Loss Development'!D17</f>
        <v>14226152</v>
      </c>
      <c r="E17">
        <v>1</v>
      </c>
      <c r="F17">
        <f>'year to ultimate LDF'!F10</f>
        <v>1.5260071628883416</v>
      </c>
      <c r="G17">
        <f t="shared" si="0"/>
        <v>21709209.852338307</v>
      </c>
      <c r="H17" s="10">
        <f t="shared" si="1"/>
        <v>7483057.8523383066</v>
      </c>
      <c r="I17" s="5">
        <v>39672438</v>
      </c>
      <c r="J17" s="10">
        <f t="shared" si="2"/>
        <v>54.721138772309139</v>
      </c>
      <c r="N17" s="10"/>
    </row>
    <row r="18" spans="3:14" x14ac:dyDescent="0.2">
      <c r="C18" s="7">
        <v>2025</v>
      </c>
      <c r="D18" s="9">
        <f>'Loss Development'!C18</f>
        <v>8975277</v>
      </c>
      <c r="E18">
        <v>0</v>
      </c>
      <c r="F18">
        <f>'year to ultimate LDF'!F9</f>
        <v>2.3819593010113542</v>
      </c>
      <c r="G18">
        <f t="shared" si="0"/>
        <v>21378744.529303282</v>
      </c>
      <c r="H18" s="10">
        <f t="shared" si="1"/>
        <v>12403467.529303282</v>
      </c>
      <c r="I18" s="5">
        <v>41616772</v>
      </c>
      <c r="J18" s="10">
        <f>(G18/I18)*100</f>
        <v>51.370501607628974</v>
      </c>
      <c r="N18" s="10"/>
    </row>
    <row r="19" spans="3:14" x14ac:dyDescent="0.2">
      <c r="F19" s="7" t="s">
        <v>37</v>
      </c>
      <c r="G19" s="7">
        <f>SUM(G9:G18)</f>
        <v>171860200.05859032</v>
      </c>
      <c r="H19" s="11">
        <f>SUM(H9:H18)</f>
        <v>31388466.058590312</v>
      </c>
      <c r="I19" s="12">
        <f>SUM(I9:I18)</f>
        <v>303069300</v>
      </c>
      <c r="J19" s="11">
        <f t="shared" si="2"/>
        <v>56.706568451040837</v>
      </c>
      <c r="N19" s="10"/>
    </row>
    <row r="20" spans="3:14" x14ac:dyDescent="0.2">
      <c r="N20" s="10"/>
    </row>
    <row r="21" spans="3:14" x14ac:dyDescent="0.2">
      <c r="N21" s="10"/>
    </row>
    <row r="22" spans="3:14" x14ac:dyDescent="0.2">
      <c r="N22" s="10"/>
    </row>
    <row r="23" spans="3:14" x14ac:dyDescent="0.2">
      <c r="N23" s="11"/>
    </row>
    <row r="28" spans="3:14" x14ac:dyDescent="0.2">
      <c r="C28" s="7" t="s">
        <v>29</v>
      </c>
      <c r="D28" s="7" t="s">
        <v>30</v>
      </c>
      <c r="E28" s="7" t="s">
        <v>31</v>
      </c>
      <c r="F28" s="7" t="s">
        <v>32</v>
      </c>
      <c r="G28" s="7" t="s">
        <v>33</v>
      </c>
      <c r="H28" s="7" t="s">
        <v>34</v>
      </c>
      <c r="I28" s="7" t="s">
        <v>35</v>
      </c>
      <c r="J28" s="7" t="s">
        <v>36</v>
      </c>
    </row>
    <row r="29" spans="3:14" x14ac:dyDescent="0.2">
      <c r="C29" s="7">
        <v>2016</v>
      </c>
      <c r="D29" s="9">
        <f>'Loss Development'!L29</f>
        <v>1589933</v>
      </c>
      <c r="E29">
        <v>9</v>
      </c>
      <c r="F29">
        <f>'year to ultimate LDF'!F38</f>
        <v>1</v>
      </c>
      <c r="G29">
        <f t="shared" ref="G29:G38" si="3">PRODUCT(D29,F29)</f>
        <v>1589933</v>
      </c>
      <c r="H29">
        <f t="shared" ref="H29:H38" si="4">G29-D29</f>
        <v>0</v>
      </c>
      <c r="I29" s="5">
        <v>3448337</v>
      </c>
      <c r="J29" s="10">
        <f>(G29/I29)*100</f>
        <v>46.107239518643333</v>
      </c>
    </row>
    <row r="30" spans="3:14" x14ac:dyDescent="0.2">
      <c r="C30" s="7">
        <v>2017</v>
      </c>
      <c r="D30" s="9">
        <f>'Loss Development'!K30</f>
        <v>2264178</v>
      </c>
      <c r="E30">
        <v>8</v>
      </c>
      <c r="F30">
        <f>'year to ultimate LDF'!F37</f>
        <v>1.0004517953832552</v>
      </c>
      <c r="G30">
        <f t="shared" si="3"/>
        <v>2265200.9451672682</v>
      </c>
      <c r="H30" s="10">
        <f t="shared" si="4"/>
        <v>1022.9451672681607</v>
      </c>
      <c r="I30" s="5">
        <v>3587453</v>
      </c>
      <c r="J30" s="10">
        <f t="shared" ref="J30:J39" si="5">(G30/I30)*100</f>
        <v>63.142316991115088</v>
      </c>
    </row>
    <row r="31" spans="3:14" x14ac:dyDescent="0.2">
      <c r="C31" s="7">
        <v>2018</v>
      </c>
      <c r="D31" s="9">
        <f>'Loss Development'!J31</f>
        <v>2404449</v>
      </c>
      <c r="E31">
        <v>7</v>
      </c>
      <c r="F31">
        <f>'year to ultimate LDF'!F36</f>
        <v>1.0013748477319628</v>
      </c>
      <c r="G31">
        <f t="shared" si="3"/>
        <v>2407754.7512542703</v>
      </c>
      <c r="H31" s="10">
        <f t="shared" si="4"/>
        <v>3305.7512542703189</v>
      </c>
      <c r="I31" s="5">
        <v>3783189</v>
      </c>
      <c r="J31" s="10">
        <f t="shared" si="5"/>
        <v>63.643522733182778</v>
      </c>
    </row>
    <row r="32" spans="3:14" x14ac:dyDescent="0.2">
      <c r="C32" s="7">
        <v>2019</v>
      </c>
      <c r="D32" s="9">
        <f>'Loss Development'!I32</f>
        <v>2452899</v>
      </c>
      <c r="E32">
        <v>6</v>
      </c>
      <c r="F32">
        <f>'year to ultimate LDF'!F35</f>
        <v>1.003134341411547</v>
      </c>
      <c r="G32">
        <f t="shared" si="3"/>
        <v>2460587.2229140424</v>
      </c>
      <c r="H32" s="10">
        <f t="shared" si="4"/>
        <v>7688.222914042417</v>
      </c>
      <c r="I32" s="5">
        <v>4039546</v>
      </c>
      <c r="J32" s="10">
        <f t="shared" si="5"/>
        <v>60.912469443695962</v>
      </c>
    </row>
    <row r="33" spans="3:10" x14ac:dyDescent="0.2">
      <c r="C33" s="7">
        <v>2020</v>
      </c>
      <c r="D33" s="9">
        <f>'Loss Development'!H33</f>
        <v>2967414</v>
      </c>
      <c r="E33">
        <v>5</v>
      </c>
      <c r="F33">
        <f>'year to ultimate LDF'!F34</f>
        <v>1.0044760732684708</v>
      </c>
      <c r="G33">
        <f t="shared" si="3"/>
        <v>2980696.3624818861</v>
      </c>
      <c r="H33" s="10">
        <f t="shared" si="4"/>
        <v>13282.362481886055</v>
      </c>
      <c r="I33" s="5">
        <v>4628946</v>
      </c>
      <c r="J33" s="10">
        <f t="shared" si="5"/>
        <v>64.392549891095868</v>
      </c>
    </row>
    <row r="34" spans="3:10" x14ac:dyDescent="0.2">
      <c r="C34" s="7">
        <v>2021</v>
      </c>
      <c r="D34" s="9">
        <f>'Loss Development'!G34</f>
        <v>3492079</v>
      </c>
      <c r="E34">
        <v>4</v>
      </c>
      <c r="F34">
        <f>'year to ultimate LDF'!F33</f>
        <v>1.0077112610349144</v>
      </c>
      <c r="G34">
        <f t="shared" si="3"/>
        <v>3519007.3327235426</v>
      </c>
      <c r="H34" s="10">
        <f t="shared" si="4"/>
        <v>26928.332723542582</v>
      </c>
      <c r="I34" s="5">
        <v>5246837</v>
      </c>
      <c r="J34" s="10">
        <f t="shared" si="5"/>
        <v>67.069118646596849</v>
      </c>
    </row>
    <row r="35" spans="3:10" x14ac:dyDescent="0.2">
      <c r="C35" s="7">
        <v>2022</v>
      </c>
      <c r="D35" s="9">
        <f>'Loss Development'!F35</f>
        <v>4214025</v>
      </c>
      <c r="E35">
        <v>3</v>
      </c>
      <c r="F35">
        <f>'year to ultimate LDF'!F32</f>
        <v>1.0145178784118374</v>
      </c>
      <c r="G35">
        <f t="shared" si="3"/>
        <v>4275203.7025744431</v>
      </c>
      <c r="H35" s="10">
        <f t="shared" si="4"/>
        <v>61178.702574443072</v>
      </c>
      <c r="I35" s="5">
        <v>6076011</v>
      </c>
      <c r="J35" s="10">
        <f t="shared" si="5"/>
        <v>70.36201387019284</v>
      </c>
    </row>
    <row r="36" spans="3:10" x14ac:dyDescent="0.2">
      <c r="C36" s="7">
        <v>2023</v>
      </c>
      <c r="D36" s="9">
        <f>'Loss Development'!E36</f>
        <v>4951063</v>
      </c>
      <c r="E36">
        <v>2</v>
      </c>
      <c r="F36">
        <f>'year to ultimate LDF'!F31</f>
        <v>1.0189058936843682</v>
      </c>
      <c r="G36">
        <f t="shared" si="3"/>
        <v>5044667.2707026089</v>
      </c>
      <c r="H36" s="10">
        <f t="shared" si="4"/>
        <v>93604.270702608861</v>
      </c>
      <c r="I36" s="5">
        <v>7048878</v>
      </c>
      <c r="J36" s="10">
        <f t="shared" si="5"/>
        <v>71.56695392802385</v>
      </c>
    </row>
    <row r="37" spans="3:10" x14ac:dyDescent="0.2">
      <c r="C37" s="7">
        <v>2024</v>
      </c>
      <c r="D37" s="9">
        <f>'Loss Development'!D37</f>
        <v>4566277</v>
      </c>
      <c r="E37">
        <v>1</v>
      </c>
      <c r="F37">
        <f>'year to ultimate LDF'!F30</f>
        <v>1.0585203417801323</v>
      </c>
      <c r="G37">
        <f t="shared" si="3"/>
        <v>4833497.0907027572</v>
      </c>
      <c r="H37" s="10">
        <f t="shared" si="4"/>
        <v>267220.09070275724</v>
      </c>
      <c r="I37" s="5">
        <v>7844982</v>
      </c>
      <c r="J37" s="10">
        <f t="shared" si="5"/>
        <v>61.612596315743708</v>
      </c>
    </row>
    <row r="38" spans="3:10" x14ac:dyDescent="0.2">
      <c r="C38" s="7">
        <v>2025</v>
      </c>
      <c r="D38" s="9">
        <f>'Loss Development'!C38</f>
        <v>3294181</v>
      </c>
      <c r="E38">
        <v>0</v>
      </c>
      <c r="F38">
        <f>'year to ultimate LDF'!F29</f>
        <v>1.4524453975318192</v>
      </c>
      <c r="G38">
        <f t="shared" si="3"/>
        <v>4784618.0320867654</v>
      </c>
      <c r="H38" s="10">
        <f t="shared" si="4"/>
        <v>1490437.0320867654</v>
      </c>
      <c r="I38" s="5">
        <v>8423313</v>
      </c>
      <c r="J38" s="10">
        <f>(G38/I38)*100</f>
        <v>56.802092384395131</v>
      </c>
    </row>
    <row r="39" spans="3:10" x14ac:dyDescent="0.2">
      <c r="F39" s="7" t="s">
        <v>37</v>
      </c>
      <c r="G39" s="7">
        <f>SUM(G29:G38)</f>
        <v>34161165.710607588</v>
      </c>
      <c r="H39" s="11">
        <f>SUM(H29:H38)</f>
        <v>1964667.7106075841</v>
      </c>
      <c r="I39" s="12">
        <f>SUM(I29:I38)</f>
        <v>54127492</v>
      </c>
      <c r="J39" s="11">
        <f t="shared" si="5"/>
        <v>63.112411915570718</v>
      </c>
    </row>
    <row r="46" spans="3:10" x14ac:dyDescent="0.2">
      <c r="C46" s="7" t="s">
        <v>29</v>
      </c>
      <c r="D46" s="7" t="s">
        <v>30</v>
      </c>
      <c r="E46" s="7" t="s">
        <v>31</v>
      </c>
      <c r="F46" s="7" t="s">
        <v>32</v>
      </c>
      <c r="G46" s="7" t="s">
        <v>33</v>
      </c>
      <c r="H46" s="7" t="s">
        <v>34</v>
      </c>
      <c r="I46" s="7" t="s">
        <v>35</v>
      </c>
      <c r="J46" s="7" t="s">
        <v>36</v>
      </c>
    </row>
    <row r="47" spans="3:10" x14ac:dyDescent="0.2">
      <c r="C47" s="7">
        <v>2016</v>
      </c>
      <c r="D47" s="9">
        <f>'Loss Development'!L47</f>
        <v>1744404</v>
      </c>
      <c r="E47">
        <v>9</v>
      </c>
      <c r="F47">
        <f>'year to ultimate LDF'!F56</f>
        <v>1</v>
      </c>
      <c r="G47">
        <f t="shared" ref="G47:G56" si="6">PRODUCT(D47,F47)</f>
        <v>1744404</v>
      </c>
      <c r="H47">
        <f t="shared" ref="H47:H56" si="7">G47-D47</f>
        <v>0</v>
      </c>
      <c r="I47" s="5">
        <v>2453792</v>
      </c>
      <c r="J47" s="10">
        <f>(G47/I47)*100</f>
        <v>71.090133149019962</v>
      </c>
    </row>
    <row r="48" spans="3:10" x14ac:dyDescent="0.2">
      <c r="C48" s="7">
        <v>2017</v>
      </c>
      <c r="D48" s="9">
        <f>'Loss Development'!K48</f>
        <v>1974588</v>
      </c>
      <c r="E48">
        <v>8</v>
      </c>
      <c r="F48">
        <f>'year to ultimate LDF'!F55</f>
        <v>1.0007038872128304</v>
      </c>
      <c r="G48">
        <f t="shared" si="6"/>
        <v>1975977.8872438085</v>
      </c>
      <c r="H48" s="10">
        <f t="shared" si="7"/>
        <v>1389.88724380848</v>
      </c>
      <c r="I48" s="5">
        <v>2834323</v>
      </c>
      <c r="J48" s="10">
        <f t="shared" ref="J48:J57" si="8">(G48/I48)*100</f>
        <v>69.716044616079699</v>
      </c>
    </row>
    <row r="49" spans="3:10" x14ac:dyDescent="0.2">
      <c r="C49" s="7">
        <v>2018</v>
      </c>
      <c r="D49" s="9">
        <f>'Loss Development'!J49</f>
        <v>2032060</v>
      </c>
      <c r="E49">
        <v>7</v>
      </c>
      <c r="F49">
        <f>'year to ultimate LDF'!F54</f>
        <v>1.0022920732879965</v>
      </c>
      <c r="G49">
        <f t="shared" si="6"/>
        <v>2036717.6304456063</v>
      </c>
      <c r="H49" s="10">
        <f t="shared" si="7"/>
        <v>4657.6304456063081</v>
      </c>
      <c r="I49" s="5">
        <v>3119812</v>
      </c>
      <c r="J49" s="10">
        <f t="shared" si="8"/>
        <v>65.283344972248528</v>
      </c>
    </row>
    <row r="50" spans="3:10" x14ac:dyDescent="0.2">
      <c r="C50" s="7">
        <v>2019</v>
      </c>
      <c r="D50" s="9">
        <f>'Loss Development'!I50</f>
        <v>2091823</v>
      </c>
      <c r="E50">
        <v>6</v>
      </c>
      <c r="F50">
        <f>'year to ultimate LDF'!F53</f>
        <v>1.0055733542670307</v>
      </c>
      <c r="G50">
        <f t="shared" si="6"/>
        <v>2103481.4706429229</v>
      </c>
      <c r="H50" s="10">
        <f t="shared" si="7"/>
        <v>11658.470642922912</v>
      </c>
      <c r="I50" s="5">
        <v>3249753</v>
      </c>
      <c r="J50" s="10">
        <f t="shared" si="8"/>
        <v>64.727426073394582</v>
      </c>
    </row>
    <row r="51" spans="3:10" x14ac:dyDescent="0.2">
      <c r="C51" s="7">
        <v>2020</v>
      </c>
      <c r="D51" s="9">
        <f>'Loss Development'!H51</f>
        <v>1635161</v>
      </c>
      <c r="E51">
        <v>5</v>
      </c>
      <c r="F51">
        <f>'year to ultimate LDF'!F52</f>
        <v>1.0151986986182227</v>
      </c>
      <c r="G51">
        <f t="shared" si="6"/>
        <v>1660013.3192312715</v>
      </c>
      <c r="H51" s="10">
        <f t="shared" si="7"/>
        <v>24852.319231271511</v>
      </c>
      <c r="I51" s="5">
        <v>3204232</v>
      </c>
      <c r="J51" s="10">
        <f t="shared" si="8"/>
        <v>51.806901598613067</v>
      </c>
    </row>
    <row r="52" spans="3:10" x14ac:dyDescent="0.2">
      <c r="C52" s="7">
        <v>2021</v>
      </c>
      <c r="D52" s="9">
        <f>'Loss Development'!G52</f>
        <v>2147312</v>
      </c>
      <c r="E52">
        <v>4</v>
      </c>
      <c r="F52">
        <f>'year to ultimate LDF'!F51</f>
        <v>1.0373225747140089</v>
      </c>
      <c r="G52">
        <f t="shared" si="6"/>
        <v>2227455.2125542881</v>
      </c>
      <c r="H52" s="10">
        <f t="shared" si="7"/>
        <v>80143.212554288097</v>
      </c>
      <c r="I52" s="5">
        <v>3410569</v>
      </c>
      <c r="J52" s="10">
        <f t="shared" si="8"/>
        <v>65.310369400363626</v>
      </c>
    </row>
    <row r="53" spans="3:10" x14ac:dyDescent="0.2">
      <c r="C53" s="7">
        <v>2022</v>
      </c>
      <c r="D53" s="9">
        <f>'Loss Development'!F53</f>
        <v>2492236</v>
      </c>
      <c r="E53">
        <v>3</v>
      </c>
      <c r="F53">
        <f>'year to ultimate LDF'!F50</f>
        <v>1.0860557354759051</v>
      </c>
      <c r="G53">
        <f t="shared" si="6"/>
        <v>2706707.2019595276</v>
      </c>
      <c r="H53" s="10">
        <f t="shared" si="7"/>
        <v>214471.20195952756</v>
      </c>
      <c r="I53" s="5">
        <v>3676366</v>
      </c>
      <c r="J53" s="10">
        <f t="shared" si="8"/>
        <v>73.624530363938945</v>
      </c>
    </row>
    <row r="54" spans="3:10" x14ac:dyDescent="0.2">
      <c r="C54" s="7">
        <v>2023</v>
      </c>
      <c r="D54" s="9">
        <f>'Loss Development'!E54</f>
        <v>2470313</v>
      </c>
      <c r="E54">
        <v>2</v>
      </c>
      <c r="F54">
        <f>'year to ultimate LDF'!F49</f>
        <v>1.1964184416317107</v>
      </c>
      <c r="G54">
        <f t="shared" si="6"/>
        <v>2955528.0298025561</v>
      </c>
      <c r="H54" s="10">
        <f t="shared" si="7"/>
        <v>485215.02980255615</v>
      </c>
      <c r="I54" s="5">
        <v>4072128</v>
      </c>
      <c r="J54" s="10">
        <f t="shared" si="8"/>
        <v>72.57944813627067</v>
      </c>
    </row>
    <row r="55" spans="3:10" x14ac:dyDescent="0.2">
      <c r="C55" s="7">
        <v>2024</v>
      </c>
      <c r="D55" s="9">
        <f>'Loss Development'!D55</f>
        <v>1914481</v>
      </c>
      <c r="E55">
        <v>1</v>
      </c>
      <c r="F55">
        <f>'year to ultimate LDF'!F48</f>
        <v>1.4792045384311596</v>
      </c>
      <c r="G55">
        <f t="shared" si="6"/>
        <v>2831908.9839402251</v>
      </c>
      <c r="H55" s="10">
        <f t="shared" si="7"/>
        <v>917427.98394022509</v>
      </c>
      <c r="I55" s="5">
        <v>4479690</v>
      </c>
      <c r="J55" s="10">
        <f t="shared" si="8"/>
        <v>63.216628470725098</v>
      </c>
    </row>
    <row r="56" spans="3:10" x14ac:dyDescent="0.2">
      <c r="C56" s="7">
        <v>2025</v>
      </c>
      <c r="D56" s="9">
        <f>'Loss Development'!C56</f>
        <v>903083</v>
      </c>
      <c r="E56">
        <v>0</v>
      </c>
      <c r="F56">
        <f>'year to ultimate LDF'!F47</f>
        <v>2.9511515950193643</v>
      </c>
      <c r="G56">
        <f t="shared" si="6"/>
        <v>2665134.8358848724</v>
      </c>
      <c r="H56" s="10">
        <f t="shared" si="7"/>
        <v>1762051.8358848724</v>
      </c>
      <c r="I56" s="5">
        <v>4542002</v>
      </c>
      <c r="J56" s="10">
        <f>(G56/I56)*100</f>
        <v>58.6775354983303</v>
      </c>
    </row>
    <row r="57" spans="3:10" x14ac:dyDescent="0.2">
      <c r="F57" s="7" t="s">
        <v>37</v>
      </c>
      <c r="G57" s="7">
        <f>SUM(G47:G56)</f>
        <v>22907328.571705081</v>
      </c>
      <c r="H57" s="11">
        <f>SUM(H47:H56)</f>
        <v>3501867.5717050787</v>
      </c>
      <c r="I57" s="12">
        <f>SUM(I47:I56)</f>
        <v>35042667</v>
      </c>
      <c r="J57" s="11">
        <f t="shared" si="8"/>
        <v>65.369820658071149</v>
      </c>
    </row>
    <row r="64" spans="3:10" x14ac:dyDescent="0.2">
      <c r="C64" s="7" t="s">
        <v>29</v>
      </c>
      <c r="D64" s="7" t="s">
        <v>30</v>
      </c>
      <c r="E64" s="7" t="s">
        <v>31</v>
      </c>
      <c r="F64" s="7" t="s">
        <v>32</v>
      </c>
      <c r="G64" s="7" t="s">
        <v>33</v>
      </c>
      <c r="H64" s="7" t="s">
        <v>34</v>
      </c>
      <c r="I64" s="7" t="s">
        <v>35</v>
      </c>
      <c r="J64" s="7" t="s">
        <v>36</v>
      </c>
    </row>
    <row r="65" spans="3:10" x14ac:dyDescent="0.2">
      <c r="C65" s="7">
        <v>2016</v>
      </c>
      <c r="D65" s="9">
        <f>'Loss Development'!L65</f>
        <v>1173340</v>
      </c>
      <c r="E65">
        <v>9</v>
      </c>
      <c r="F65">
        <f>'year to ultimate LDF'!F74</f>
        <v>1</v>
      </c>
      <c r="G65">
        <f t="shared" ref="G65:G74" si="9">PRODUCT(D65,F65)</f>
        <v>1173340</v>
      </c>
      <c r="H65">
        <f t="shared" ref="H65:H74" si="10">G65-D65</f>
        <v>0</v>
      </c>
      <c r="I65" s="5">
        <v>1584689</v>
      </c>
      <c r="J65" s="10">
        <f>(G65/I65)*100</f>
        <v>74.042288423785365</v>
      </c>
    </row>
    <row r="66" spans="3:10" x14ac:dyDescent="0.2">
      <c r="C66" s="7">
        <v>2017</v>
      </c>
      <c r="D66" s="9">
        <f>'Loss Development'!K66</f>
        <v>1284463</v>
      </c>
      <c r="E66">
        <v>8</v>
      </c>
      <c r="F66">
        <f>'year to ultimate LDF'!F73</f>
        <v>1.0080708211549334</v>
      </c>
      <c r="G66">
        <f t="shared" si="9"/>
        <v>1294829.6711531293</v>
      </c>
      <c r="H66" s="10">
        <f t="shared" si="10"/>
        <v>10366.671153129311</v>
      </c>
      <c r="I66" s="5">
        <v>1684946</v>
      </c>
      <c r="J66" s="10">
        <f t="shared" ref="J66:J75" si="11">(G66/I66)*100</f>
        <v>76.846953620657828</v>
      </c>
    </row>
    <row r="67" spans="3:10" x14ac:dyDescent="0.2">
      <c r="C67" s="7">
        <v>2018</v>
      </c>
      <c r="D67" s="9">
        <f>'Loss Development'!J67</f>
        <v>1470916</v>
      </c>
      <c r="E67">
        <v>7</v>
      </c>
      <c r="F67">
        <f>'year to ultimate LDF'!F72</f>
        <v>1.0173035523846996</v>
      </c>
      <c r="G67">
        <f t="shared" si="9"/>
        <v>1496368.0720594928</v>
      </c>
      <c r="H67" s="10">
        <f t="shared" si="10"/>
        <v>25452.072059492813</v>
      </c>
      <c r="I67" s="5">
        <v>1886777</v>
      </c>
      <c r="J67" s="10">
        <f t="shared" si="11"/>
        <v>79.308157352961842</v>
      </c>
    </row>
    <row r="68" spans="3:10" x14ac:dyDescent="0.2">
      <c r="C68" s="7">
        <v>2019</v>
      </c>
      <c r="D68" s="9">
        <f>'Loss Development'!I68</f>
        <v>1651674</v>
      </c>
      <c r="E68">
        <v>6</v>
      </c>
      <c r="F68">
        <f>'year to ultimate LDF'!F71</f>
        <v>1.035680341909093</v>
      </c>
      <c r="G68">
        <f t="shared" si="9"/>
        <v>1710606.2930423592</v>
      </c>
      <c r="H68" s="10">
        <f t="shared" si="10"/>
        <v>58932.293042359175</v>
      </c>
      <c r="I68" s="5">
        <v>2066132</v>
      </c>
      <c r="J68" s="10">
        <f t="shared" si="11"/>
        <v>82.792691514499523</v>
      </c>
    </row>
    <row r="69" spans="3:10" x14ac:dyDescent="0.2">
      <c r="C69" s="7">
        <v>2020</v>
      </c>
      <c r="D69" s="9">
        <f>'Loss Development'!H69</f>
        <v>1160169</v>
      </c>
      <c r="E69">
        <v>5</v>
      </c>
      <c r="F69">
        <f>'year to ultimate LDF'!F70</f>
        <v>1.0781491102702887</v>
      </c>
      <c r="G69">
        <f t="shared" si="9"/>
        <v>1250835.1751131706</v>
      </c>
      <c r="H69" s="10">
        <f t="shared" si="10"/>
        <v>90666.175113170641</v>
      </c>
      <c r="I69" s="5">
        <v>2156573</v>
      </c>
      <c r="J69" s="10">
        <f t="shared" si="11"/>
        <v>58.001058861126921</v>
      </c>
    </row>
    <row r="70" spans="3:10" x14ac:dyDescent="0.2">
      <c r="C70" s="7">
        <v>2021</v>
      </c>
      <c r="D70" s="9">
        <f>'Loss Development'!G70</f>
        <v>1298474</v>
      </c>
      <c r="E70">
        <v>4</v>
      </c>
      <c r="F70">
        <f>'year to ultimate LDF'!F69</f>
        <v>1.1570995792542333</v>
      </c>
      <c r="G70">
        <f t="shared" si="9"/>
        <v>1502463.7190725615</v>
      </c>
      <c r="H70" s="10">
        <f t="shared" si="10"/>
        <v>203989.71907256148</v>
      </c>
      <c r="I70" s="5">
        <v>2244548</v>
      </c>
      <c r="J70" s="10">
        <f t="shared" si="11"/>
        <v>66.938364386618659</v>
      </c>
    </row>
    <row r="71" spans="3:10" x14ac:dyDescent="0.2">
      <c r="C71" s="7">
        <v>2022</v>
      </c>
      <c r="D71" s="9">
        <f>'Loss Development'!F71</f>
        <v>1236345</v>
      </c>
      <c r="E71">
        <v>3</v>
      </c>
      <c r="F71">
        <f>'year to ultimate LDF'!F68</f>
        <v>1.3437068593906849</v>
      </c>
      <c r="G71">
        <f t="shared" si="9"/>
        <v>1661285.2570733763</v>
      </c>
      <c r="H71" s="10">
        <f t="shared" si="10"/>
        <v>424940.25707337633</v>
      </c>
      <c r="I71" s="5">
        <v>2346565</v>
      </c>
      <c r="J71" s="10">
        <f t="shared" si="11"/>
        <v>70.796473017937984</v>
      </c>
    </row>
    <row r="72" spans="3:10" x14ac:dyDescent="0.2">
      <c r="C72" s="7">
        <v>2023</v>
      </c>
      <c r="D72" s="9">
        <f>'Loss Development'!E72</f>
        <v>987427</v>
      </c>
      <c r="E72">
        <v>2</v>
      </c>
      <c r="F72">
        <f>'year to ultimate LDF'!F67</f>
        <v>1.7728887932160471</v>
      </c>
      <c r="G72">
        <f t="shared" si="9"/>
        <v>1750598.2624189418</v>
      </c>
      <c r="H72" s="10">
        <f t="shared" si="10"/>
        <v>763171.26241894183</v>
      </c>
      <c r="I72" s="5">
        <v>2543667</v>
      </c>
      <c r="J72" s="10">
        <f t="shared" si="11"/>
        <v>68.821833298892571</v>
      </c>
    </row>
    <row r="73" spans="3:10" x14ac:dyDescent="0.2">
      <c r="C73" s="7">
        <v>2024</v>
      </c>
      <c r="D73" s="9">
        <f>'Loss Development'!D73</f>
        <v>602384</v>
      </c>
      <c r="E73">
        <v>1</v>
      </c>
      <c r="F73">
        <f>'year to ultimate LDF'!F66</f>
        <v>2.8947478765954671</v>
      </c>
      <c r="G73">
        <f t="shared" si="9"/>
        <v>1743749.8048950839</v>
      </c>
      <c r="H73" s="10">
        <f t="shared" si="10"/>
        <v>1141365.8048950839</v>
      </c>
      <c r="I73" s="5">
        <v>2865840</v>
      </c>
      <c r="J73" s="10">
        <f t="shared" si="11"/>
        <v>60.84602786251444</v>
      </c>
    </row>
    <row r="74" spans="3:10" x14ac:dyDescent="0.2">
      <c r="C74" s="7">
        <v>2025</v>
      </c>
      <c r="D74" s="9">
        <f>'Loss Development'!C74</f>
        <v>221153</v>
      </c>
      <c r="E74">
        <v>0</v>
      </c>
      <c r="F74">
        <f>'year to ultimate LDF'!F65</f>
        <v>7.4946462213755742</v>
      </c>
      <c r="G74">
        <f t="shared" si="9"/>
        <v>1657463.4957958723</v>
      </c>
      <c r="H74" s="10">
        <f t="shared" si="10"/>
        <v>1436310.4957958723</v>
      </c>
      <c r="I74" s="5">
        <v>3166494</v>
      </c>
      <c r="J74" s="10">
        <f>(G74/I74)*100</f>
        <v>52.343806613746068</v>
      </c>
    </row>
    <row r="75" spans="3:10" x14ac:dyDescent="0.2">
      <c r="F75" s="7" t="s">
        <v>37</v>
      </c>
      <c r="G75" s="7">
        <f>SUM(G65:G74)</f>
        <v>15241539.750623988</v>
      </c>
      <c r="H75" s="11">
        <f>SUM(H65:H74)</f>
        <v>4155194.750623988</v>
      </c>
      <c r="I75" s="12">
        <f>SUM(I65:I74)</f>
        <v>22546231</v>
      </c>
      <c r="J75" s="11">
        <f t="shared" si="11"/>
        <v>67.601275577385806</v>
      </c>
    </row>
    <row r="82" spans="3:10" x14ac:dyDescent="0.2">
      <c r="C82" s="7" t="s">
        <v>29</v>
      </c>
      <c r="D82" s="7" t="s">
        <v>30</v>
      </c>
      <c r="E82" s="7" t="s">
        <v>31</v>
      </c>
      <c r="F82" s="7" t="s">
        <v>32</v>
      </c>
      <c r="G82" s="7" t="s">
        <v>33</v>
      </c>
      <c r="H82" s="7" t="s">
        <v>34</v>
      </c>
      <c r="I82" s="7" t="s">
        <v>35</v>
      </c>
      <c r="J82" s="7" t="s">
        <v>36</v>
      </c>
    </row>
    <row r="83" spans="3:10" x14ac:dyDescent="0.2">
      <c r="C83" s="7">
        <v>2016</v>
      </c>
      <c r="D83" s="9">
        <f>'Loss Development'!L83</f>
        <v>1679282</v>
      </c>
      <c r="E83">
        <v>9</v>
      </c>
      <c r="F83">
        <f>'year to ultimate LDF'!F92</f>
        <v>1</v>
      </c>
      <c r="G83">
        <f t="shared" ref="G83:G92" si="12">PRODUCT(D83,F83)</f>
        <v>1679282</v>
      </c>
      <c r="H83">
        <f t="shared" ref="H83:H92" si="13">G83-D83</f>
        <v>0</v>
      </c>
      <c r="I83" s="5">
        <v>4011050</v>
      </c>
      <c r="J83" s="10">
        <f>(G83/I83)*100</f>
        <v>41.866394086336491</v>
      </c>
    </row>
    <row r="84" spans="3:10" x14ac:dyDescent="0.2">
      <c r="C84" s="7">
        <v>2017</v>
      </c>
      <c r="D84" s="9">
        <f>'Loss Development'!K84</f>
        <v>1698608</v>
      </c>
      <c r="E84">
        <v>8</v>
      </c>
      <c r="F84">
        <f>'year to ultimate LDF'!F91</f>
        <v>1.0163570294191699</v>
      </c>
      <c r="G84">
        <f t="shared" si="12"/>
        <v>1726392.1810276373</v>
      </c>
      <c r="H84" s="10">
        <f t="shared" si="13"/>
        <v>27784.181027637329</v>
      </c>
      <c r="I84" s="5">
        <v>4007823</v>
      </c>
      <c r="J84" s="10">
        <f t="shared" ref="J84:J93" si="14">(G84/I84)*100</f>
        <v>43.075559500198416</v>
      </c>
    </row>
    <row r="85" spans="3:10" x14ac:dyDescent="0.2">
      <c r="C85" s="7">
        <v>2018</v>
      </c>
      <c r="D85" s="9">
        <f>'Loss Development'!J85</f>
        <v>1703947</v>
      </c>
      <c r="E85">
        <v>7</v>
      </c>
      <c r="F85">
        <f>'year to ultimate LDF'!F90</f>
        <v>1.0355068025950465</v>
      </c>
      <c r="G85">
        <f t="shared" si="12"/>
        <v>1764448.7097614217</v>
      </c>
      <c r="H85" s="10">
        <f t="shared" si="13"/>
        <v>60501.709761421662</v>
      </c>
      <c r="I85" s="5">
        <v>3945980</v>
      </c>
      <c r="J85" s="10">
        <f t="shared" si="14"/>
        <v>44.715095103407052</v>
      </c>
    </row>
    <row r="86" spans="3:10" x14ac:dyDescent="0.2">
      <c r="C86" s="7">
        <v>2019</v>
      </c>
      <c r="D86" s="9">
        <f>'Loss Development'!I86</f>
        <v>1711280</v>
      </c>
      <c r="E86">
        <v>6</v>
      </c>
      <c r="F86">
        <f>'year to ultimate LDF'!F89</f>
        <v>1.0614427046619344</v>
      </c>
      <c r="G86">
        <f t="shared" si="12"/>
        <v>1816425.671633875</v>
      </c>
      <c r="H86" s="10">
        <f t="shared" si="13"/>
        <v>105145.671633875</v>
      </c>
      <c r="I86" s="5">
        <v>3875628</v>
      </c>
      <c r="J86" s="10">
        <f t="shared" si="14"/>
        <v>46.867905579015193</v>
      </c>
    </row>
    <row r="87" spans="3:10" x14ac:dyDescent="0.2">
      <c r="C87" s="7">
        <v>2020</v>
      </c>
      <c r="D87" s="9">
        <f>'Loss Development'!H87</f>
        <v>1401799</v>
      </c>
      <c r="E87">
        <v>5</v>
      </c>
      <c r="F87">
        <f>'year to ultimate LDF'!F88</f>
        <v>1.0990402891735467</v>
      </c>
      <c r="G87">
        <f t="shared" si="12"/>
        <v>1540633.5783231885</v>
      </c>
      <c r="H87" s="10">
        <f t="shared" si="13"/>
        <v>138834.57832318847</v>
      </c>
      <c r="I87" s="5">
        <v>3422021</v>
      </c>
      <c r="J87" s="10">
        <f t="shared" si="14"/>
        <v>45.021160838089202</v>
      </c>
    </row>
    <row r="88" spans="3:10" x14ac:dyDescent="0.2">
      <c r="C88" s="7">
        <v>2021</v>
      </c>
      <c r="D88" s="9">
        <f>'Loss Development'!G88</f>
        <v>1395152</v>
      </c>
      <c r="E88">
        <v>4</v>
      </c>
      <c r="F88">
        <f>'year to ultimate LDF'!F87</f>
        <v>1.1543088820656591</v>
      </c>
      <c r="G88">
        <f t="shared" si="12"/>
        <v>1610436.3454316685</v>
      </c>
      <c r="H88" s="10">
        <f t="shared" si="13"/>
        <v>215284.34543166845</v>
      </c>
      <c r="I88" s="5">
        <v>3276385</v>
      </c>
      <c r="J88" s="10">
        <f t="shared" si="14"/>
        <v>49.152842093699867</v>
      </c>
    </row>
    <row r="89" spans="3:10" x14ac:dyDescent="0.2">
      <c r="C89" s="7">
        <v>2022</v>
      </c>
      <c r="D89" s="9">
        <f>'Loss Development'!F89</f>
        <v>1292334</v>
      </c>
      <c r="E89">
        <v>3</v>
      </c>
      <c r="F89">
        <f>'year to ultimate LDF'!F86</f>
        <v>1.2491088134705022</v>
      </c>
      <c r="G89">
        <f t="shared" si="12"/>
        <v>1614265.7893475879</v>
      </c>
      <c r="H89" s="10">
        <f t="shared" si="13"/>
        <v>321931.78934758785</v>
      </c>
      <c r="I89" s="5">
        <v>3471148</v>
      </c>
      <c r="J89" s="10">
        <f t="shared" si="14"/>
        <v>46.505242339064424</v>
      </c>
    </row>
    <row r="90" spans="3:10" x14ac:dyDescent="0.2">
      <c r="C90" s="7">
        <v>2023</v>
      </c>
      <c r="D90" s="9">
        <f>'Loss Development'!E90</f>
        <v>1235294</v>
      </c>
      <c r="E90">
        <v>2</v>
      </c>
      <c r="F90">
        <f>'year to ultimate LDF'!F85</f>
        <v>1.4260136816542819</v>
      </c>
      <c r="G90">
        <f t="shared" si="12"/>
        <v>1761546.1448654444</v>
      </c>
      <c r="H90" s="10">
        <f t="shared" si="13"/>
        <v>526252.1448654444</v>
      </c>
      <c r="I90" s="5">
        <v>3511837</v>
      </c>
      <c r="J90" s="10">
        <f t="shared" si="14"/>
        <v>50.160247894917795</v>
      </c>
    </row>
    <row r="91" spans="3:10" x14ac:dyDescent="0.2">
      <c r="C91" s="7">
        <v>2024</v>
      </c>
      <c r="D91" s="9">
        <f>'Loss Development'!D91</f>
        <v>972607</v>
      </c>
      <c r="E91">
        <v>1</v>
      </c>
      <c r="F91">
        <f>'year to ultimate LDF'!F84</f>
        <v>1.8315879727056712</v>
      </c>
      <c r="G91">
        <f t="shared" si="12"/>
        <v>1781415.2833693447</v>
      </c>
      <c r="H91" s="10">
        <f t="shared" si="13"/>
        <v>808808.28336934466</v>
      </c>
      <c r="I91" s="5">
        <v>3511837</v>
      </c>
      <c r="J91" s="10">
        <f t="shared" si="14"/>
        <v>50.726024111294024</v>
      </c>
    </row>
    <row r="92" spans="3:10" x14ac:dyDescent="0.2">
      <c r="C92" s="7">
        <v>2025</v>
      </c>
      <c r="D92" s="9">
        <f>'Loss Development'!C92</f>
        <v>448587</v>
      </c>
      <c r="E92">
        <v>0</v>
      </c>
      <c r="F92">
        <f>'year to ultimate LDF'!F83</f>
        <v>3.8054897894556809</v>
      </c>
      <c r="G92">
        <f t="shared" si="12"/>
        <v>1707093.2481825557</v>
      </c>
      <c r="H92" s="10">
        <f t="shared" si="13"/>
        <v>1258506.2481825557</v>
      </c>
      <c r="I92" s="5">
        <v>3398313</v>
      </c>
      <c r="J92" s="10">
        <f>(G92/I92)*100</f>
        <v>50.233549651917166</v>
      </c>
    </row>
    <row r="93" spans="3:10" x14ac:dyDescent="0.2">
      <c r="F93" s="7" t="s">
        <v>37</v>
      </c>
      <c r="G93" s="7">
        <f>SUM(G83:G92)</f>
        <v>17001938.95194272</v>
      </c>
      <c r="H93" s="11">
        <f>SUM(H83:H92)</f>
        <v>3463048.9519427232</v>
      </c>
      <c r="I93" s="12">
        <f>SUM(I83:I92)</f>
        <v>36432022</v>
      </c>
      <c r="J93" s="11">
        <f t="shared" si="14"/>
        <v>46.66756885451683</v>
      </c>
    </row>
    <row r="100" spans="3:10" x14ac:dyDescent="0.2">
      <c r="C100" s="7" t="s">
        <v>29</v>
      </c>
      <c r="D100" s="7" t="s">
        <v>30</v>
      </c>
      <c r="E100" s="7" t="s">
        <v>31</v>
      </c>
      <c r="F100" s="7" t="s">
        <v>32</v>
      </c>
      <c r="G100" s="7" t="s">
        <v>33</v>
      </c>
      <c r="H100" s="7" t="s">
        <v>34</v>
      </c>
      <c r="I100" s="7" t="s">
        <v>35</v>
      </c>
      <c r="J100" s="7" t="s">
        <v>36</v>
      </c>
    </row>
    <row r="101" spans="3:10" x14ac:dyDescent="0.2">
      <c r="C101" s="7">
        <v>2016</v>
      </c>
      <c r="D101" s="9">
        <f>'Loss Development'!L101</f>
        <v>1487593</v>
      </c>
      <c r="E101">
        <v>9</v>
      </c>
      <c r="F101">
        <f>'year to ultimate LDF'!F110</f>
        <v>1</v>
      </c>
      <c r="G101">
        <f t="shared" ref="G101:G110" si="15">PRODUCT(D101,F101)</f>
        <v>1487593</v>
      </c>
      <c r="H101">
        <f t="shared" ref="H101:H110" si="16">G101-D101</f>
        <v>0</v>
      </c>
      <c r="I101" s="5">
        <v>3034868</v>
      </c>
      <c r="J101" s="10">
        <f>(G101/I101)*100</f>
        <v>49.016728239910265</v>
      </c>
    </row>
    <row r="102" spans="3:10" x14ac:dyDescent="0.2">
      <c r="C102" s="7">
        <v>2017</v>
      </c>
      <c r="D102" s="9">
        <f>'Loss Development'!K102</f>
        <v>1747291</v>
      </c>
      <c r="E102">
        <v>8</v>
      </c>
      <c r="F102">
        <f>'year to ultimate LDF'!F109</f>
        <v>1.0074441233616935</v>
      </c>
      <c r="G102">
        <f t="shared" si="15"/>
        <v>1760298.0497527767</v>
      </c>
      <c r="H102" s="10">
        <f t="shared" si="16"/>
        <v>13007.049752776744</v>
      </c>
      <c r="I102" s="5">
        <v>3068803</v>
      </c>
      <c r="J102" s="10">
        <f t="shared" ref="J102:J111" si="17">(G102/I102)*100</f>
        <v>57.361063898620301</v>
      </c>
    </row>
    <row r="103" spans="3:10" x14ac:dyDescent="0.2">
      <c r="C103" s="7">
        <v>2018</v>
      </c>
      <c r="D103" s="9">
        <f>'Loss Development'!J103</f>
        <v>1927593</v>
      </c>
      <c r="E103">
        <v>7</v>
      </c>
      <c r="F103">
        <f>'year to ultimate LDF'!F108</f>
        <v>1.0260689813657906</v>
      </c>
      <c r="G103">
        <f t="shared" si="15"/>
        <v>1977843.3859978283</v>
      </c>
      <c r="H103" s="10">
        <f t="shared" si="16"/>
        <v>50250.385997828329</v>
      </c>
      <c r="I103" s="5">
        <v>3196247</v>
      </c>
      <c r="J103" s="10">
        <f t="shared" si="17"/>
        <v>61.88017966064038</v>
      </c>
    </row>
    <row r="104" spans="3:10" x14ac:dyDescent="0.2">
      <c r="C104" s="7">
        <v>2019</v>
      </c>
      <c r="D104" s="9">
        <f>'Loss Development'!I104</f>
        <v>1869999</v>
      </c>
      <c r="E104">
        <v>6</v>
      </c>
      <c r="F104">
        <f>'year to ultimate LDF'!F107</f>
        <v>1.0457672362746793</v>
      </c>
      <c r="G104">
        <f t="shared" si="15"/>
        <v>1955583.686066414</v>
      </c>
      <c r="H104" s="10">
        <f t="shared" si="16"/>
        <v>85584.686066413997</v>
      </c>
      <c r="I104" s="5">
        <v>3314161</v>
      </c>
      <c r="J104" s="10">
        <f t="shared" si="17"/>
        <v>59.006900572012469</v>
      </c>
    </row>
    <row r="105" spans="3:10" x14ac:dyDescent="0.2">
      <c r="C105" s="7">
        <v>2020</v>
      </c>
      <c r="D105" s="9">
        <f>'Loss Development'!H105</f>
        <v>1684703</v>
      </c>
      <c r="E105">
        <v>5</v>
      </c>
      <c r="F105">
        <f>'year to ultimate LDF'!F106</f>
        <v>1.0798398163431906</v>
      </c>
      <c r="G105">
        <f t="shared" si="15"/>
        <v>1819209.3781128223</v>
      </c>
      <c r="H105" s="10">
        <f t="shared" si="16"/>
        <v>134506.37811282231</v>
      </c>
      <c r="I105" s="5">
        <v>3408858</v>
      </c>
      <c r="J105" s="10">
        <f t="shared" si="17"/>
        <v>53.367121133025265</v>
      </c>
    </row>
    <row r="106" spans="3:10" x14ac:dyDescent="0.2">
      <c r="C106" s="7">
        <v>2021</v>
      </c>
      <c r="D106" s="9">
        <f>'Loss Development'!G106</f>
        <v>1695571</v>
      </c>
      <c r="E106">
        <v>4</v>
      </c>
      <c r="F106">
        <f>'year to ultimate LDF'!F105</f>
        <v>1.1443781775205222</v>
      </c>
      <c r="G106">
        <f t="shared" si="15"/>
        <v>1940374.4508366494</v>
      </c>
      <c r="H106" s="10">
        <f t="shared" si="16"/>
        <v>244803.4508366494</v>
      </c>
      <c r="I106" s="5">
        <v>3523160</v>
      </c>
      <c r="J106" s="10">
        <f t="shared" si="17"/>
        <v>55.074831992774932</v>
      </c>
    </row>
    <row r="107" spans="3:10" x14ac:dyDescent="0.2">
      <c r="C107" s="7">
        <v>2022</v>
      </c>
      <c r="D107" s="9">
        <f>'Loss Development'!F107</f>
        <v>1889346</v>
      </c>
      <c r="E107">
        <v>3</v>
      </c>
      <c r="F107">
        <f>'year to ultimate LDF'!F104</f>
        <v>1.2533626299802869</v>
      </c>
      <c r="G107">
        <f t="shared" si="15"/>
        <v>2368035.671502735</v>
      </c>
      <c r="H107" s="10">
        <f t="shared" si="16"/>
        <v>478689.671502735</v>
      </c>
      <c r="I107" s="5">
        <v>3960127</v>
      </c>
      <c r="J107" s="10">
        <f t="shared" si="17"/>
        <v>59.79696286262373</v>
      </c>
    </row>
    <row r="108" spans="3:10" x14ac:dyDescent="0.2">
      <c r="C108" s="7">
        <v>2023</v>
      </c>
      <c r="D108" s="9">
        <f>'Loss Development'!E108</f>
        <v>1812323</v>
      </c>
      <c r="E108">
        <v>2</v>
      </c>
      <c r="F108">
        <f>'year to ultimate LDF'!F103</f>
        <v>1.4176597865020588</v>
      </c>
      <c r="G108">
        <f t="shared" si="15"/>
        <v>2569257.4372527706</v>
      </c>
      <c r="H108" s="10">
        <f t="shared" si="16"/>
        <v>756934.43725277064</v>
      </c>
      <c r="I108" s="5">
        <v>4526065</v>
      </c>
      <c r="J108" s="10">
        <f t="shared" si="17"/>
        <v>56.76580953328709</v>
      </c>
    </row>
    <row r="109" spans="3:10" x14ac:dyDescent="0.2">
      <c r="C109" s="7">
        <v>2024</v>
      </c>
      <c r="D109" s="9">
        <f>'Loss Development'!D109</f>
        <v>1459803</v>
      </c>
      <c r="E109">
        <v>1</v>
      </c>
      <c r="F109">
        <f>'year to ultimate LDF'!F102</f>
        <v>1.6816053255252648</v>
      </c>
      <c r="G109">
        <f t="shared" si="15"/>
        <v>2454812.4990177583</v>
      </c>
      <c r="H109" s="10">
        <f t="shared" si="16"/>
        <v>995009.49901775829</v>
      </c>
      <c r="I109" s="5">
        <v>5094809</v>
      </c>
      <c r="J109" s="10">
        <f t="shared" si="17"/>
        <v>48.182620761990457</v>
      </c>
    </row>
    <row r="110" spans="3:10" x14ac:dyDescent="0.2">
      <c r="C110" s="7">
        <v>2025</v>
      </c>
      <c r="D110" s="9">
        <f>'Loss Development'!C110</f>
        <v>844154</v>
      </c>
      <c r="E110">
        <v>0</v>
      </c>
      <c r="F110">
        <f>'year to ultimate LDF'!F101</f>
        <v>2.8700608858031149</v>
      </c>
      <c r="G110">
        <f t="shared" si="15"/>
        <v>2422773.3769942429</v>
      </c>
      <c r="H110" s="10">
        <f t="shared" si="16"/>
        <v>1578619.3769942429</v>
      </c>
      <c r="I110" s="5">
        <v>5607230</v>
      </c>
      <c r="J110" s="10">
        <f>(G110/I110)*100</f>
        <v>43.2080256560591</v>
      </c>
    </row>
    <row r="111" spans="3:10" x14ac:dyDescent="0.2">
      <c r="F111" s="7" t="s">
        <v>37</v>
      </c>
      <c r="G111" s="7">
        <f>SUM(G101:G110)</f>
        <v>20755780.935534</v>
      </c>
      <c r="H111" s="11">
        <f>SUM(H101:H110)</f>
        <v>4337404.9355339976</v>
      </c>
      <c r="I111" s="12">
        <f>SUM(I101:I110)</f>
        <v>38734328</v>
      </c>
      <c r="J111" s="11">
        <f t="shared" si="17"/>
        <v>53.584977479237537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9CD63-16B8-BA43-83BB-79AD4D303664}">
  <dimension ref="B8:G110"/>
  <sheetViews>
    <sheetView tabSelected="1" workbookViewId="0">
      <selection activeCell="G15" sqref="G15"/>
    </sheetView>
  </sheetViews>
  <sheetFormatPr baseColWidth="10" defaultRowHeight="16" x14ac:dyDescent="0.2"/>
  <cols>
    <col min="2" max="2" width="12.5" bestFit="1" customWidth="1"/>
    <col min="3" max="3" width="15.83203125" bestFit="1" customWidth="1"/>
    <col min="4" max="4" width="29.5" bestFit="1" customWidth="1"/>
    <col min="5" max="5" width="25.5" bestFit="1" customWidth="1"/>
    <col min="6" max="6" width="16.83203125" bestFit="1" customWidth="1"/>
    <col min="7" max="7" width="20.1640625" bestFit="1" customWidth="1"/>
  </cols>
  <sheetData>
    <row r="8" spans="2:7" x14ac:dyDescent="0.2">
      <c r="B8" s="7" t="s">
        <v>29</v>
      </c>
      <c r="C8" s="7" t="s">
        <v>35</v>
      </c>
      <c r="D8" s="7" t="s">
        <v>38</v>
      </c>
      <c r="E8" s="7" t="s">
        <v>39</v>
      </c>
      <c r="F8" s="7" t="s">
        <v>40</v>
      </c>
      <c r="G8" s="7" t="s">
        <v>41</v>
      </c>
    </row>
    <row r="9" spans="2:7" x14ac:dyDescent="0.2">
      <c r="B9" s="7">
        <v>2016</v>
      </c>
      <c r="C9" s="9">
        <f>'loss reserve and loss ratio'!I9</f>
        <v>22928545</v>
      </c>
      <c r="D9" s="10">
        <f>'loss reserve and loss ratio'!J9</f>
        <v>51.458742802912262</v>
      </c>
      <c r="E9" s="10">
        <f>'loss reserve and loss ratio'!J19</f>
        <v>56.706568451040837</v>
      </c>
      <c r="F9" s="10">
        <f>D9-E9</f>
        <v>-5.2478256481285754</v>
      </c>
      <c r="G9" s="13" t="s">
        <v>43</v>
      </c>
    </row>
    <row r="10" spans="2:7" x14ac:dyDescent="0.2">
      <c r="B10" s="7">
        <v>2017</v>
      </c>
      <c r="C10" s="9">
        <f>'loss reserve and loss ratio'!I10</f>
        <v>23974677</v>
      </c>
      <c r="D10" s="10">
        <f>'loss reserve and loss ratio'!J10</f>
        <v>58.309080337597699</v>
      </c>
      <c r="E10" s="10">
        <v>56.706568451040837</v>
      </c>
      <c r="F10" s="10">
        <f>D10-E10</f>
        <v>1.6025118865568615</v>
      </c>
      <c r="G10" s="7" t="s">
        <v>42</v>
      </c>
    </row>
    <row r="11" spans="2:7" x14ac:dyDescent="0.2">
      <c r="B11" s="7">
        <v>2018</v>
      </c>
      <c r="C11" s="9">
        <f>'loss reserve and loss ratio'!I11</f>
        <v>25218935</v>
      </c>
      <c r="D11" s="10">
        <f>'loss reserve and loss ratio'!J11</f>
        <v>58.929962625234175</v>
      </c>
      <c r="E11" s="10">
        <v>56.706568451040837</v>
      </c>
      <c r="F11" s="10">
        <f t="shared" ref="F11:F18" si="0">D11-E11</f>
        <v>2.2233941741933378</v>
      </c>
      <c r="G11" s="7" t="s">
        <v>42</v>
      </c>
    </row>
    <row r="12" spans="2:7" x14ac:dyDescent="0.2">
      <c r="B12" s="7">
        <v>2019</v>
      </c>
      <c r="C12" s="9">
        <f>'loss reserve and loss ratio'!I12</f>
        <v>26381533</v>
      </c>
      <c r="D12" s="10">
        <f>'loss reserve and loss ratio'!J12</f>
        <v>58.762541237598256</v>
      </c>
      <c r="E12" s="10">
        <v>56.706568451040837</v>
      </c>
      <c r="F12" s="10">
        <f t="shared" si="0"/>
        <v>2.0559727865574189</v>
      </c>
      <c r="G12" s="7" t="s">
        <v>42</v>
      </c>
    </row>
    <row r="13" spans="2:7" x14ac:dyDescent="0.2">
      <c r="B13" s="7">
        <v>2020</v>
      </c>
      <c r="C13" s="9">
        <f>'loss reserve and loss ratio'!I13</f>
        <v>27135373</v>
      </c>
      <c r="D13" s="10">
        <f>'loss reserve and loss ratio'!J13</f>
        <v>52.607085692953483</v>
      </c>
      <c r="E13" s="10">
        <v>56.706568451040837</v>
      </c>
      <c r="F13" s="10">
        <f t="shared" si="0"/>
        <v>-4.0994827580873547</v>
      </c>
      <c r="G13" s="7" t="s">
        <v>42</v>
      </c>
    </row>
    <row r="14" spans="2:7" x14ac:dyDescent="0.2">
      <c r="B14" s="7">
        <v>2021</v>
      </c>
      <c r="C14" s="9">
        <f>'loss reserve and loss ratio'!I14</f>
        <v>28782907</v>
      </c>
      <c r="D14" s="10">
        <f>'loss reserve and loss ratio'!J14</f>
        <v>57.73346751842552</v>
      </c>
      <c r="E14" s="10">
        <v>56.706568451040837</v>
      </c>
      <c r="F14" s="10">
        <f t="shared" si="0"/>
        <v>1.026899067384683</v>
      </c>
      <c r="G14" s="7" t="s">
        <v>42</v>
      </c>
    </row>
    <row r="15" spans="2:7" x14ac:dyDescent="0.2">
      <c r="B15" s="7">
        <v>2022</v>
      </c>
      <c r="C15" s="9">
        <f>'loss reserve and loss ratio'!I15</f>
        <v>31715601</v>
      </c>
      <c r="D15" s="10">
        <f>'loss reserve and loss ratio'!J15</f>
        <v>62.470621766393698</v>
      </c>
      <c r="E15" s="10">
        <v>56.706568451040837</v>
      </c>
      <c r="F15" s="10">
        <f t="shared" si="0"/>
        <v>5.7640533153528608</v>
      </c>
      <c r="G15" s="14" t="s">
        <v>44</v>
      </c>
    </row>
    <row r="16" spans="2:7" x14ac:dyDescent="0.2">
      <c r="B16" s="7">
        <v>2023</v>
      </c>
      <c r="C16" s="9">
        <f>'loss reserve and loss ratio'!I16</f>
        <v>35642519</v>
      </c>
      <c r="D16" s="10">
        <f>'loss reserve and loss ratio'!J16</f>
        <v>61.512741267127367</v>
      </c>
      <c r="E16" s="10">
        <v>56.706568451040837</v>
      </c>
      <c r="F16" s="10">
        <f t="shared" si="0"/>
        <v>4.80617281608653</v>
      </c>
      <c r="G16" s="7" t="s">
        <v>42</v>
      </c>
    </row>
    <row r="17" spans="2:7" x14ac:dyDescent="0.2">
      <c r="B17" s="7">
        <v>2024</v>
      </c>
      <c r="C17" s="9">
        <f>'loss reserve and loss ratio'!I17</f>
        <v>39672438</v>
      </c>
      <c r="D17" s="10">
        <f>'loss reserve and loss ratio'!J17</f>
        <v>54.721138772309139</v>
      </c>
      <c r="E17" s="10">
        <v>56.706568451040837</v>
      </c>
      <c r="F17" s="10">
        <f t="shared" si="0"/>
        <v>-1.9854296787316983</v>
      </c>
      <c r="G17" s="7" t="s">
        <v>42</v>
      </c>
    </row>
    <row r="18" spans="2:7" x14ac:dyDescent="0.2">
      <c r="B18" s="7">
        <v>2025</v>
      </c>
      <c r="C18" s="9">
        <f>'loss reserve and loss ratio'!I18</f>
        <v>41616772</v>
      </c>
      <c r="D18" s="10">
        <f>'loss reserve and loss ratio'!J18</f>
        <v>51.370501607628974</v>
      </c>
      <c r="E18" s="10">
        <v>56.706568451040837</v>
      </c>
      <c r="F18" s="10">
        <f t="shared" si="0"/>
        <v>-5.3360668434118637</v>
      </c>
      <c r="G18" s="13" t="s">
        <v>43</v>
      </c>
    </row>
    <row r="28" spans="2:7" x14ac:dyDescent="0.2">
      <c r="B28" s="7" t="s">
        <v>29</v>
      </c>
      <c r="C28" s="7" t="s">
        <v>35</v>
      </c>
      <c r="D28" s="7" t="s">
        <v>38</v>
      </c>
      <c r="E28" s="7" t="s">
        <v>39</v>
      </c>
      <c r="F28" s="7" t="s">
        <v>40</v>
      </c>
      <c r="G28" s="7" t="s">
        <v>41</v>
      </c>
    </row>
    <row r="29" spans="2:7" x14ac:dyDescent="0.2">
      <c r="B29" s="7">
        <v>2016</v>
      </c>
      <c r="C29" s="9">
        <f>'loss reserve and loss ratio'!I29</f>
        <v>3448337</v>
      </c>
      <c r="D29" s="10">
        <f>'loss reserve and loss ratio'!J29</f>
        <v>46.107239518643333</v>
      </c>
      <c r="E29" s="10">
        <v>63.11</v>
      </c>
      <c r="F29" s="10">
        <f>D29-E29</f>
        <v>-17.002760481356667</v>
      </c>
      <c r="G29" s="13" t="s">
        <v>43</v>
      </c>
    </row>
    <row r="30" spans="2:7" x14ac:dyDescent="0.2">
      <c r="B30" s="7">
        <v>2017</v>
      </c>
      <c r="C30" s="9">
        <f>'loss reserve and loss ratio'!I30</f>
        <v>3587453</v>
      </c>
      <c r="D30" s="10">
        <f>'loss reserve and loss ratio'!J30</f>
        <v>63.142316991115088</v>
      </c>
      <c r="E30" s="10">
        <v>63.11</v>
      </c>
      <c r="F30" s="10">
        <f>D30-E30</f>
        <v>3.2316991115088456E-2</v>
      </c>
      <c r="G30" s="7" t="s">
        <v>42</v>
      </c>
    </row>
    <row r="31" spans="2:7" x14ac:dyDescent="0.2">
      <c r="B31" s="7">
        <v>2018</v>
      </c>
      <c r="C31" s="9">
        <f>'loss reserve and loss ratio'!I31</f>
        <v>3783189</v>
      </c>
      <c r="D31" s="10">
        <f>'loss reserve and loss ratio'!J31</f>
        <v>63.643522733182778</v>
      </c>
      <c r="E31" s="10">
        <v>63.11</v>
      </c>
      <c r="F31" s="10">
        <f t="shared" ref="F31:F38" si="1">D31-E31</f>
        <v>0.5335227331827781</v>
      </c>
      <c r="G31" s="7" t="s">
        <v>42</v>
      </c>
    </row>
    <row r="32" spans="2:7" x14ac:dyDescent="0.2">
      <c r="B32" s="7">
        <v>2019</v>
      </c>
      <c r="C32" s="9">
        <f>'loss reserve and loss ratio'!I32</f>
        <v>4039546</v>
      </c>
      <c r="D32" s="10">
        <f>'loss reserve and loss ratio'!J32</f>
        <v>60.912469443695962</v>
      </c>
      <c r="E32" s="10">
        <v>63.11</v>
      </c>
      <c r="F32" s="10">
        <f t="shared" si="1"/>
        <v>-2.1975305563040379</v>
      </c>
      <c r="G32" s="7" t="s">
        <v>42</v>
      </c>
    </row>
    <row r="33" spans="2:7" x14ac:dyDescent="0.2">
      <c r="B33" s="7">
        <v>2020</v>
      </c>
      <c r="C33" s="9">
        <f>'loss reserve and loss ratio'!I33</f>
        <v>4628946</v>
      </c>
      <c r="D33" s="10">
        <f>'loss reserve and loss ratio'!J33</f>
        <v>64.392549891095868</v>
      </c>
      <c r="E33" s="10">
        <v>63.11</v>
      </c>
      <c r="F33" s="10">
        <f t="shared" si="1"/>
        <v>1.2825498910958686</v>
      </c>
      <c r="G33" s="7" t="s">
        <v>42</v>
      </c>
    </row>
    <row r="34" spans="2:7" x14ac:dyDescent="0.2">
      <c r="B34" s="7">
        <v>2021</v>
      </c>
      <c r="C34" s="9">
        <f>'loss reserve and loss ratio'!I34</f>
        <v>5246837</v>
      </c>
      <c r="D34" s="10">
        <f>'loss reserve and loss ratio'!J34</f>
        <v>67.069118646596849</v>
      </c>
      <c r="E34" s="10">
        <v>63.11</v>
      </c>
      <c r="F34" s="10">
        <f t="shared" si="1"/>
        <v>3.9591186465968491</v>
      </c>
      <c r="G34" s="7" t="s">
        <v>42</v>
      </c>
    </row>
    <row r="35" spans="2:7" x14ac:dyDescent="0.2">
      <c r="B35" s="7">
        <v>2022</v>
      </c>
      <c r="C35" s="9">
        <f>'loss reserve and loss ratio'!I35</f>
        <v>6076011</v>
      </c>
      <c r="D35" s="10">
        <f>'loss reserve and loss ratio'!J35</f>
        <v>70.36201387019284</v>
      </c>
      <c r="E35" s="10">
        <v>63.11</v>
      </c>
      <c r="F35" s="10">
        <f t="shared" si="1"/>
        <v>7.2520138701928403</v>
      </c>
      <c r="G35" s="14" t="s">
        <v>44</v>
      </c>
    </row>
    <row r="36" spans="2:7" x14ac:dyDescent="0.2">
      <c r="B36" s="7">
        <v>2023</v>
      </c>
      <c r="C36" s="9">
        <f>'loss reserve and loss ratio'!I36</f>
        <v>7048878</v>
      </c>
      <c r="D36" s="10">
        <f>'loss reserve and loss ratio'!J36</f>
        <v>71.56695392802385</v>
      </c>
      <c r="E36" s="10">
        <v>63.11</v>
      </c>
      <c r="F36" s="10">
        <f t="shared" si="1"/>
        <v>8.4569539280238502</v>
      </c>
      <c r="G36" s="14" t="s">
        <v>44</v>
      </c>
    </row>
    <row r="37" spans="2:7" x14ac:dyDescent="0.2">
      <c r="B37" s="7">
        <v>2024</v>
      </c>
      <c r="C37" s="9">
        <f>'loss reserve and loss ratio'!I37</f>
        <v>7844982</v>
      </c>
      <c r="D37" s="10">
        <f>'loss reserve and loss ratio'!J37</f>
        <v>61.612596315743708</v>
      </c>
      <c r="E37" s="10">
        <v>63.11</v>
      </c>
      <c r="F37" s="10">
        <f t="shared" si="1"/>
        <v>-1.497403684256291</v>
      </c>
      <c r="G37" s="7" t="s">
        <v>42</v>
      </c>
    </row>
    <row r="38" spans="2:7" x14ac:dyDescent="0.2">
      <c r="B38" s="7">
        <v>2025</v>
      </c>
      <c r="C38" s="9">
        <f>'loss reserve and loss ratio'!I38</f>
        <v>8423313</v>
      </c>
      <c r="D38" s="10">
        <f>'loss reserve and loss ratio'!J38</f>
        <v>56.802092384395131</v>
      </c>
      <c r="E38" s="10">
        <v>63.11</v>
      </c>
      <c r="F38" s="10">
        <f t="shared" si="1"/>
        <v>-6.3079076156048686</v>
      </c>
      <c r="G38" s="13" t="s">
        <v>43</v>
      </c>
    </row>
    <row r="46" spans="2:7" x14ac:dyDescent="0.2">
      <c r="B46" s="7" t="s">
        <v>29</v>
      </c>
      <c r="C46" s="7" t="s">
        <v>35</v>
      </c>
      <c r="D46" s="7" t="s">
        <v>38</v>
      </c>
      <c r="E46" s="7" t="s">
        <v>39</v>
      </c>
      <c r="F46" s="7" t="s">
        <v>40</v>
      </c>
      <c r="G46" s="7" t="s">
        <v>41</v>
      </c>
    </row>
    <row r="47" spans="2:7" x14ac:dyDescent="0.2">
      <c r="B47" s="7">
        <v>2016</v>
      </c>
      <c r="C47" s="9">
        <f>'loss reserve and loss ratio'!I47</f>
        <v>2453792</v>
      </c>
      <c r="D47" s="10">
        <f>'loss reserve and loss ratio'!J47</f>
        <v>71.090133149019962</v>
      </c>
      <c r="E47">
        <v>65.37</v>
      </c>
      <c r="F47" s="10">
        <f>D47-E47</f>
        <v>5.7201331490199578</v>
      </c>
      <c r="G47" s="14" t="s">
        <v>44</v>
      </c>
    </row>
    <row r="48" spans="2:7" x14ac:dyDescent="0.2">
      <c r="B48" s="7">
        <v>2017</v>
      </c>
      <c r="C48" s="9">
        <f>'loss reserve and loss ratio'!I48</f>
        <v>2834323</v>
      </c>
      <c r="D48" s="10">
        <f>'loss reserve and loss ratio'!J48</f>
        <v>69.716044616079699</v>
      </c>
      <c r="E48">
        <v>65.37</v>
      </c>
      <c r="F48" s="10">
        <f>D48-E48</f>
        <v>4.3460446160796948</v>
      </c>
      <c r="G48" s="7" t="s">
        <v>42</v>
      </c>
    </row>
    <row r="49" spans="2:7" x14ac:dyDescent="0.2">
      <c r="B49" s="7">
        <v>2018</v>
      </c>
      <c r="C49" s="9">
        <f>'loss reserve and loss ratio'!I49</f>
        <v>3119812</v>
      </c>
      <c r="D49" s="10">
        <f>'loss reserve and loss ratio'!J49</f>
        <v>65.283344972248528</v>
      </c>
      <c r="E49">
        <v>65.37</v>
      </c>
      <c r="F49" s="10">
        <f t="shared" ref="F49:F56" si="2">D49-E49</f>
        <v>-8.6655027751476155E-2</v>
      </c>
      <c r="G49" s="7" t="s">
        <v>42</v>
      </c>
    </row>
    <row r="50" spans="2:7" x14ac:dyDescent="0.2">
      <c r="B50" s="7">
        <v>2019</v>
      </c>
      <c r="C50" s="9">
        <f>'loss reserve and loss ratio'!I50</f>
        <v>3249753</v>
      </c>
      <c r="D50" s="10">
        <f>'loss reserve and loss ratio'!J50</f>
        <v>64.727426073394582</v>
      </c>
      <c r="E50">
        <v>65.37</v>
      </c>
      <c r="F50" s="10">
        <f t="shared" si="2"/>
        <v>-0.64257392660542223</v>
      </c>
      <c r="G50" s="7" t="s">
        <v>42</v>
      </c>
    </row>
    <row r="51" spans="2:7" x14ac:dyDescent="0.2">
      <c r="B51" s="7">
        <v>2020</v>
      </c>
      <c r="C51" s="9">
        <f>'loss reserve and loss ratio'!I51</f>
        <v>3204232</v>
      </c>
      <c r="D51" s="10">
        <f>'loss reserve and loss ratio'!J51</f>
        <v>51.806901598613067</v>
      </c>
      <c r="E51">
        <v>65.37</v>
      </c>
      <c r="F51" s="10">
        <f t="shared" si="2"/>
        <v>-13.563098401386938</v>
      </c>
      <c r="G51" s="13" t="s">
        <v>43</v>
      </c>
    </row>
    <row r="52" spans="2:7" x14ac:dyDescent="0.2">
      <c r="B52" s="7">
        <v>2021</v>
      </c>
      <c r="C52" s="9">
        <f>'loss reserve and loss ratio'!I52</f>
        <v>3410569</v>
      </c>
      <c r="D52" s="10">
        <f>'loss reserve and loss ratio'!J52</f>
        <v>65.310369400363626</v>
      </c>
      <c r="E52">
        <v>65.37</v>
      </c>
      <c r="F52" s="10">
        <f t="shared" si="2"/>
        <v>-5.9630599636378179E-2</v>
      </c>
      <c r="G52" s="7" t="s">
        <v>42</v>
      </c>
    </row>
    <row r="53" spans="2:7" x14ac:dyDescent="0.2">
      <c r="B53" s="7">
        <v>2022</v>
      </c>
      <c r="C53" s="9">
        <f>'loss reserve and loss ratio'!I53</f>
        <v>3676366</v>
      </c>
      <c r="D53" s="10">
        <f>'loss reserve and loss ratio'!J53</f>
        <v>73.624530363938945</v>
      </c>
      <c r="E53">
        <v>65.37</v>
      </c>
      <c r="F53" s="10">
        <f t="shared" si="2"/>
        <v>8.2545303639389402</v>
      </c>
      <c r="G53" s="14" t="s">
        <v>44</v>
      </c>
    </row>
    <row r="54" spans="2:7" x14ac:dyDescent="0.2">
      <c r="B54" s="7">
        <v>2023</v>
      </c>
      <c r="C54" s="9">
        <f>'loss reserve and loss ratio'!I54</f>
        <v>4072128</v>
      </c>
      <c r="D54" s="10">
        <f>'loss reserve and loss ratio'!J54</f>
        <v>72.57944813627067</v>
      </c>
      <c r="E54">
        <v>65.37</v>
      </c>
      <c r="F54" s="10">
        <f t="shared" si="2"/>
        <v>7.2094481362706659</v>
      </c>
      <c r="G54" s="14" t="s">
        <v>44</v>
      </c>
    </row>
    <row r="55" spans="2:7" x14ac:dyDescent="0.2">
      <c r="B55" s="7">
        <v>2024</v>
      </c>
      <c r="C55" s="9">
        <f>'loss reserve and loss ratio'!I55</f>
        <v>4479690</v>
      </c>
      <c r="D55" s="10">
        <f>'loss reserve and loss ratio'!J55</f>
        <v>63.216628470725098</v>
      </c>
      <c r="E55">
        <v>65.37</v>
      </c>
      <c r="F55" s="10">
        <f t="shared" si="2"/>
        <v>-2.1533715292749065</v>
      </c>
      <c r="G55" s="7" t="s">
        <v>42</v>
      </c>
    </row>
    <row r="56" spans="2:7" x14ac:dyDescent="0.2">
      <c r="B56" s="7">
        <v>2025</v>
      </c>
      <c r="C56" s="9">
        <f>'loss reserve and loss ratio'!I56</f>
        <v>4542002</v>
      </c>
      <c r="D56" s="10">
        <f>'loss reserve and loss ratio'!J56</f>
        <v>58.6775354983303</v>
      </c>
      <c r="E56">
        <v>65.37</v>
      </c>
      <c r="F56" s="10">
        <f t="shared" si="2"/>
        <v>-6.6924645016697042</v>
      </c>
      <c r="G56" s="13" t="s">
        <v>43</v>
      </c>
    </row>
    <row r="64" spans="2:7" x14ac:dyDescent="0.2">
      <c r="B64" s="7" t="s">
        <v>29</v>
      </c>
      <c r="C64" s="7" t="s">
        <v>35</v>
      </c>
      <c r="D64" s="7" t="s">
        <v>38</v>
      </c>
      <c r="E64" s="7" t="s">
        <v>39</v>
      </c>
      <c r="F64" s="7" t="s">
        <v>40</v>
      </c>
      <c r="G64" s="7" t="s">
        <v>41</v>
      </c>
    </row>
    <row r="65" spans="2:7" x14ac:dyDescent="0.2">
      <c r="B65" s="7">
        <v>2016</v>
      </c>
      <c r="C65" s="9">
        <f>'loss reserve and loss ratio'!I65</f>
        <v>1584689</v>
      </c>
      <c r="D65" s="10">
        <f>'loss reserve and loss ratio'!J65</f>
        <v>74.042288423785365</v>
      </c>
      <c r="E65">
        <v>67.599999999999994</v>
      </c>
      <c r="F65" s="10">
        <f>D65-E65</f>
        <v>6.4422884237853708</v>
      </c>
      <c r="G65" s="14" t="s">
        <v>44</v>
      </c>
    </row>
    <row r="66" spans="2:7" x14ac:dyDescent="0.2">
      <c r="B66" s="7">
        <v>2017</v>
      </c>
      <c r="C66" s="9">
        <f>'loss reserve and loss ratio'!I66</f>
        <v>1684946</v>
      </c>
      <c r="D66" s="10">
        <f>'loss reserve and loss ratio'!J66</f>
        <v>76.846953620657828</v>
      </c>
      <c r="E66">
        <v>67.599999999999994</v>
      </c>
      <c r="F66" s="10">
        <f>D66-E66</f>
        <v>9.246953620657834</v>
      </c>
      <c r="G66" s="14" t="s">
        <v>44</v>
      </c>
    </row>
    <row r="67" spans="2:7" x14ac:dyDescent="0.2">
      <c r="B67" s="7">
        <v>2018</v>
      </c>
      <c r="C67" s="9">
        <f>'loss reserve and loss ratio'!I67</f>
        <v>1886777</v>
      </c>
      <c r="D67" s="10">
        <f>'loss reserve and loss ratio'!J67</f>
        <v>79.308157352961842</v>
      </c>
      <c r="E67">
        <v>67.599999999999994</v>
      </c>
      <c r="F67" s="10">
        <f t="shared" ref="F67:F74" si="3">D67-E67</f>
        <v>11.708157352961848</v>
      </c>
      <c r="G67" s="14" t="s">
        <v>44</v>
      </c>
    </row>
    <row r="68" spans="2:7" x14ac:dyDescent="0.2">
      <c r="B68" s="7">
        <v>2019</v>
      </c>
      <c r="C68" s="9">
        <f>'loss reserve and loss ratio'!I68</f>
        <v>2066132</v>
      </c>
      <c r="D68" s="10">
        <f>'loss reserve and loss ratio'!J68</f>
        <v>82.792691514499523</v>
      </c>
      <c r="E68">
        <v>67.599999999999994</v>
      </c>
      <c r="F68" s="10">
        <f t="shared" si="3"/>
        <v>15.192691514499529</v>
      </c>
      <c r="G68" s="14" t="s">
        <v>44</v>
      </c>
    </row>
    <row r="69" spans="2:7" x14ac:dyDescent="0.2">
      <c r="B69" s="7">
        <v>2020</v>
      </c>
      <c r="C69" s="9">
        <f>'loss reserve and loss ratio'!I69</f>
        <v>2156573</v>
      </c>
      <c r="D69" s="10">
        <f>'loss reserve and loss ratio'!J69</f>
        <v>58.001058861126921</v>
      </c>
      <c r="E69">
        <v>67.599999999999994</v>
      </c>
      <c r="F69" s="10">
        <f t="shared" si="3"/>
        <v>-9.598941138873073</v>
      </c>
      <c r="G69" s="13" t="s">
        <v>43</v>
      </c>
    </row>
    <row r="70" spans="2:7" x14ac:dyDescent="0.2">
      <c r="B70" s="7">
        <v>2021</v>
      </c>
      <c r="C70" s="9">
        <f>'loss reserve and loss ratio'!I70</f>
        <v>2244548</v>
      </c>
      <c r="D70" s="10">
        <f>'loss reserve and loss ratio'!J70</f>
        <v>66.938364386618659</v>
      </c>
      <c r="E70">
        <v>67.599999999999994</v>
      </c>
      <c r="F70" s="10">
        <f t="shared" si="3"/>
        <v>-0.66163561338133547</v>
      </c>
      <c r="G70" s="7" t="s">
        <v>42</v>
      </c>
    </row>
    <row r="71" spans="2:7" x14ac:dyDescent="0.2">
      <c r="B71" s="7">
        <v>2022</v>
      </c>
      <c r="C71" s="9">
        <f>'loss reserve and loss ratio'!I71</f>
        <v>2346565</v>
      </c>
      <c r="D71" s="10">
        <f>'loss reserve and loss ratio'!J71</f>
        <v>70.796473017937984</v>
      </c>
      <c r="E71">
        <v>67.599999999999994</v>
      </c>
      <c r="F71" s="10">
        <f t="shared" si="3"/>
        <v>3.1964730179379899</v>
      </c>
      <c r="G71" s="7" t="s">
        <v>42</v>
      </c>
    </row>
    <row r="72" spans="2:7" x14ac:dyDescent="0.2">
      <c r="B72" s="7">
        <v>2023</v>
      </c>
      <c r="C72" s="9">
        <f>'loss reserve and loss ratio'!I72</f>
        <v>2543667</v>
      </c>
      <c r="D72" s="10">
        <f>'loss reserve and loss ratio'!J72</f>
        <v>68.821833298892571</v>
      </c>
      <c r="E72">
        <v>67.599999999999994</v>
      </c>
      <c r="F72" s="10">
        <f t="shared" si="3"/>
        <v>1.2218332988925766</v>
      </c>
      <c r="G72" s="7" t="s">
        <v>42</v>
      </c>
    </row>
    <row r="73" spans="2:7" x14ac:dyDescent="0.2">
      <c r="B73" s="7">
        <v>2024</v>
      </c>
      <c r="C73" s="9">
        <f>'loss reserve and loss ratio'!I73</f>
        <v>2865840</v>
      </c>
      <c r="D73" s="10">
        <f>'loss reserve and loss ratio'!J73</f>
        <v>60.84602786251444</v>
      </c>
      <c r="E73">
        <v>67.599999999999994</v>
      </c>
      <c r="F73" s="10">
        <f t="shared" si="3"/>
        <v>-6.7539721374855546</v>
      </c>
      <c r="G73" s="13" t="s">
        <v>43</v>
      </c>
    </row>
    <row r="74" spans="2:7" x14ac:dyDescent="0.2">
      <c r="B74" s="7">
        <v>2025</v>
      </c>
      <c r="C74" s="9">
        <f>'loss reserve and loss ratio'!I74</f>
        <v>3166494</v>
      </c>
      <c r="D74" s="10">
        <f>'loss reserve and loss ratio'!J74</f>
        <v>52.343806613746068</v>
      </c>
      <c r="E74">
        <v>67.599999999999994</v>
      </c>
      <c r="F74" s="10">
        <f t="shared" si="3"/>
        <v>-15.256193386253926</v>
      </c>
      <c r="G74" s="13" t="s">
        <v>43</v>
      </c>
    </row>
    <row r="82" spans="2:7" x14ac:dyDescent="0.2">
      <c r="B82" s="7" t="s">
        <v>29</v>
      </c>
      <c r="C82" s="7" t="s">
        <v>35</v>
      </c>
      <c r="D82" s="7" t="s">
        <v>38</v>
      </c>
      <c r="E82" s="7" t="s">
        <v>39</v>
      </c>
      <c r="F82" s="7" t="s">
        <v>40</v>
      </c>
      <c r="G82" s="7" t="s">
        <v>41</v>
      </c>
    </row>
    <row r="83" spans="2:7" x14ac:dyDescent="0.2">
      <c r="B83" s="7">
        <v>2016</v>
      </c>
      <c r="C83" s="9">
        <f>'loss reserve and loss ratio'!I83</f>
        <v>4011050</v>
      </c>
      <c r="D83" s="10">
        <f>'loss reserve and loss ratio'!J83</f>
        <v>41.866394086336491</v>
      </c>
      <c r="E83">
        <v>46.67</v>
      </c>
      <c r="F83" s="10">
        <f>D83-E83</f>
        <v>-4.8036059136635103</v>
      </c>
      <c r="G83" s="7" t="s">
        <v>42</v>
      </c>
    </row>
    <row r="84" spans="2:7" x14ac:dyDescent="0.2">
      <c r="B84" s="7">
        <v>2017</v>
      </c>
      <c r="C84" s="9">
        <f>'loss reserve and loss ratio'!I84</f>
        <v>4007823</v>
      </c>
      <c r="D84" s="10">
        <f>'loss reserve and loss ratio'!J84</f>
        <v>43.075559500198416</v>
      </c>
      <c r="E84">
        <v>46.67</v>
      </c>
      <c r="F84" s="10">
        <f>D84-E84</f>
        <v>-3.5944404998015855</v>
      </c>
      <c r="G84" s="7" t="s">
        <v>42</v>
      </c>
    </row>
    <row r="85" spans="2:7" x14ac:dyDescent="0.2">
      <c r="B85" s="7">
        <v>2018</v>
      </c>
      <c r="C85" s="9">
        <f>'loss reserve and loss ratio'!I85</f>
        <v>3945980</v>
      </c>
      <c r="D85" s="10">
        <f>'loss reserve and loss ratio'!J85</f>
        <v>44.715095103407052</v>
      </c>
      <c r="E85">
        <v>46.67</v>
      </c>
      <c r="F85" s="10">
        <f t="shared" ref="F85:F92" si="4">D85-E85</f>
        <v>-1.9549048965929501</v>
      </c>
      <c r="G85" s="7" t="s">
        <v>42</v>
      </c>
    </row>
    <row r="86" spans="2:7" x14ac:dyDescent="0.2">
      <c r="B86" s="7">
        <v>2019</v>
      </c>
      <c r="C86" s="9">
        <f>'loss reserve and loss ratio'!I86</f>
        <v>3875628</v>
      </c>
      <c r="D86" s="10">
        <f>'loss reserve and loss ratio'!J86</f>
        <v>46.867905579015193</v>
      </c>
      <c r="E86">
        <v>46.67</v>
      </c>
      <c r="F86" s="10">
        <f t="shared" si="4"/>
        <v>0.19790557901519179</v>
      </c>
      <c r="G86" s="7" t="s">
        <v>42</v>
      </c>
    </row>
    <row r="87" spans="2:7" x14ac:dyDescent="0.2">
      <c r="B87" s="7">
        <v>2020</v>
      </c>
      <c r="C87" s="9">
        <f>'loss reserve and loss ratio'!I87</f>
        <v>3422021</v>
      </c>
      <c r="D87" s="10">
        <f>'loss reserve and loss ratio'!J87</f>
        <v>45.021160838089202</v>
      </c>
      <c r="E87">
        <v>46.67</v>
      </c>
      <c r="F87" s="10">
        <f t="shared" si="4"/>
        <v>-1.6488391619108</v>
      </c>
      <c r="G87" s="7" t="s">
        <v>42</v>
      </c>
    </row>
    <row r="88" spans="2:7" x14ac:dyDescent="0.2">
      <c r="B88" s="7">
        <v>2021</v>
      </c>
      <c r="C88" s="9">
        <f>'loss reserve and loss ratio'!I88</f>
        <v>3276385</v>
      </c>
      <c r="D88" s="10">
        <f>'loss reserve and loss ratio'!J88</f>
        <v>49.152842093699867</v>
      </c>
      <c r="E88">
        <v>46.67</v>
      </c>
      <c r="F88" s="10">
        <f t="shared" si="4"/>
        <v>2.4828420936998654</v>
      </c>
      <c r="G88" s="7" t="s">
        <v>42</v>
      </c>
    </row>
    <row r="89" spans="2:7" x14ac:dyDescent="0.2">
      <c r="B89" s="7">
        <v>2022</v>
      </c>
      <c r="C89" s="9">
        <f>'loss reserve and loss ratio'!I89</f>
        <v>3471148</v>
      </c>
      <c r="D89" s="10">
        <f>'loss reserve and loss ratio'!J89</f>
        <v>46.505242339064424</v>
      </c>
      <c r="E89">
        <v>46.67</v>
      </c>
      <c r="F89" s="10">
        <f t="shared" si="4"/>
        <v>-0.16475766093557809</v>
      </c>
      <c r="G89" s="7" t="s">
        <v>42</v>
      </c>
    </row>
    <row r="90" spans="2:7" x14ac:dyDescent="0.2">
      <c r="B90" s="7">
        <v>2023</v>
      </c>
      <c r="C90" s="9">
        <f>'loss reserve and loss ratio'!I90</f>
        <v>3511837</v>
      </c>
      <c r="D90" s="10">
        <f>'loss reserve and loss ratio'!J90</f>
        <v>50.160247894917795</v>
      </c>
      <c r="E90">
        <v>46.67</v>
      </c>
      <c r="F90" s="10">
        <f t="shared" si="4"/>
        <v>3.4902478949177933</v>
      </c>
      <c r="G90" s="7" t="s">
        <v>42</v>
      </c>
    </row>
    <row r="91" spans="2:7" x14ac:dyDescent="0.2">
      <c r="B91" s="7">
        <v>2024</v>
      </c>
      <c r="C91" s="9">
        <f>'loss reserve and loss ratio'!I91</f>
        <v>3511837</v>
      </c>
      <c r="D91" s="10">
        <f>'loss reserve and loss ratio'!J91</f>
        <v>50.726024111294024</v>
      </c>
      <c r="E91">
        <v>46.67</v>
      </c>
      <c r="F91" s="10">
        <f t="shared" si="4"/>
        <v>4.0560241112940218</v>
      </c>
      <c r="G91" s="7" t="s">
        <v>42</v>
      </c>
    </row>
    <row r="92" spans="2:7" x14ac:dyDescent="0.2">
      <c r="B92" s="7">
        <v>2025</v>
      </c>
      <c r="C92" s="9">
        <f>'loss reserve and loss ratio'!I92</f>
        <v>3398313</v>
      </c>
      <c r="D92" s="10">
        <f>'loss reserve and loss ratio'!J92</f>
        <v>50.233549651917166</v>
      </c>
      <c r="E92">
        <v>46.67</v>
      </c>
      <c r="F92" s="10">
        <f t="shared" si="4"/>
        <v>3.5635496519171639</v>
      </c>
      <c r="G92" s="7" t="s">
        <v>42</v>
      </c>
    </row>
    <row r="100" spans="2:7" x14ac:dyDescent="0.2">
      <c r="B100" s="7" t="s">
        <v>29</v>
      </c>
      <c r="C100" s="7" t="s">
        <v>35</v>
      </c>
      <c r="D100" s="7" t="s">
        <v>38</v>
      </c>
      <c r="E100" s="7" t="s">
        <v>39</v>
      </c>
      <c r="F100" s="7" t="s">
        <v>40</v>
      </c>
      <c r="G100" s="7" t="s">
        <v>41</v>
      </c>
    </row>
    <row r="101" spans="2:7" x14ac:dyDescent="0.2">
      <c r="B101" s="7">
        <v>2016</v>
      </c>
      <c r="C101" s="9">
        <f>'loss reserve and loss ratio'!I101</f>
        <v>3034868</v>
      </c>
      <c r="D101" s="10">
        <f>'loss reserve and loss ratio'!J101</f>
        <v>49.016728239910265</v>
      </c>
      <c r="E101">
        <v>53.58</v>
      </c>
      <c r="F101" s="10">
        <f>D101-E101</f>
        <v>-4.5632717600897337</v>
      </c>
      <c r="G101" s="7" t="s">
        <v>42</v>
      </c>
    </row>
    <row r="102" spans="2:7" x14ac:dyDescent="0.2">
      <c r="B102" s="7">
        <v>2017</v>
      </c>
      <c r="C102" s="9">
        <f>'loss reserve and loss ratio'!I102</f>
        <v>3068803</v>
      </c>
      <c r="D102" s="10">
        <f>'loss reserve and loss ratio'!J102</f>
        <v>57.361063898620301</v>
      </c>
      <c r="E102">
        <v>53.58</v>
      </c>
      <c r="F102" s="10">
        <f>D102-E102</f>
        <v>3.7810638986203031</v>
      </c>
      <c r="G102" s="7" t="s">
        <v>42</v>
      </c>
    </row>
    <row r="103" spans="2:7" x14ac:dyDescent="0.2">
      <c r="B103" s="7">
        <v>2018</v>
      </c>
      <c r="C103" s="9">
        <f>'loss reserve and loss ratio'!I103</f>
        <v>3196247</v>
      </c>
      <c r="D103" s="10">
        <f>'loss reserve and loss ratio'!J103</f>
        <v>61.88017966064038</v>
      </c>
      <c r="E103">
        <v>53.58</v>
      </c>
      <c r="F103" s="10">
        <f t="shared" ref="F103:F110" si="5">D103-E103</f>
        <v>8.3001796606403815</v>
      </c>
      <c r="G103" s="14" t="s">
        <v>44</v>
      </c>
    </row>
    <row r="104" spans="2:7" x14ac:dyDescent="0.2">
      <c r="B104" s="7">
        <v>2019</v>
      </c>
      <c r="C104" s="9">
        <f>'loss reserve and loss ratio'!I104</f>
        <v>3314161</v>
      </c>
      <c r="D104" s="10">
        <f>'loss reserve and loss ratio'!J104</f>
        <v>59.006900572012469</v>
      </c>
      <c r="E104">
        <v>53.58</v>
      </c>
      <c r="F104" s="10">
        <f t="shared" si="5"/>
        <v>5.426900572012471</v>
      </c>
      <c r="G104" s="14" t="s">
        <v>44</v>
      </c>
    </row>
    <row r="105" spans="2:7" x14ac:dyDescent="0.2">
      <c r="B105" s="7">
        <v>2020</v>
      </c>
      <c r="C105" s="9">
        <f>'loss reserve and loss ratio'!I105</f>
        <v>3408858</v>
      </c>
      <c r="D105" s="10">
        <f>'loss reserve and loss ratio'!J105</f>
        <v>53.367121133025265</v>
      </c>
      <c r="E105">
        <v>53.58</v>
      </c>
      <c r="F105" s="10">
        <f t="shared" si="5"/>
        <v>-0.21287886697473368</v>
      </c>
      <c r="G105" s="7" t="s">
        <v>42</v>
      </c>
    </row>
    <row r="106" spans="2:7" x14ac:dyDescent="0.2">
      <c r="B106" s="7">
        <v>2021</v>
      </c>
      <c r="C106" s="9">
        <f>'loss reserve and loss ratio'!I106</f>
        <v>3523160</v>
      </c>
      <c r="D106" s="10">
        <f>'loss reserve and loss ratio'!J106</f>
        <v>55.074831992774932</v>
      </c>
      <c r="E106">
        <v>53.58</v>
      </c>
      <c r="F106" s="10">
        <f t="shared" si="5"/>
        <v>1.4948319927749338</v>
      </c>
      <c r="G106" s="7" t="s">
        <v>42</v>
      </c>
    </row>
    <row r="107" spans="2:7" x14ac:dyDescent="0.2">
      <c r="B107" s="7">
        <v>2022</v>
      </c>
      <c r="C107" s="9">
        <f>'loss reserve and loss ratio'!I107</f>
        <v>3960127</v>
      </c>
      <c r="D107" s="10">
        <f>'loss reserve and loss ratio'!J107</f>
        <v>59.79696286262373</v>
      </c>
      <c r="E107">
        <v>53.58</v>
      </c>
      <c r="F107" s="10">
        <f t="shared" si="5"/>
        <v>6.2169628626237312</v>
      </c>
      <c r="G107" s="14" t="s">
        <v>44</v>
      </c>
    </row>
    <row r="108" spans="2:7" x14ac:dyDescent="0.2">
      <c r="B108" s="7">
        <v>2023</v>
      </c>
      <c r="C108" s="9">
        <f>'loss reserve and loss ratio'!I108</f>
        <v>4526065</v>
      </c>
      <c r="D108" s="10">
        <f>'loss reserve and loss ratio'!J108</f>
        <v>56.76580953328709</v>
      </c>
      <c r="E108">
        <v>53.58</v>
      </c>
      <c r="F108" s="10">
        <f t="shared" si="5"/>
        <v>3.1858095332870917</v>
      </c>
      <c r="G108" s="7" t="s">
        <v>42</v>
      </c>
    </row>
    <row r="109" spans="2:7" x14ac:dyDescent="0.2">
      <c r="B109" s="7">
        <v>2024</v>
      </c>
      <c r="C109" s="9">
        <f>'loss reserve and loss ratio'!I109</f>
        <v>5094809</v>
      </c>
      <c r="D109" s="10">
        <f>'loss reserve and loss ratio'!J109</f>
        <v>48.182620761990457</v>
      </c>
      <c r="E109">
        <v>53.58</v>
      </c>
      <c r="F109" s="10">
        <f t="shared" si="5"/>
        <v>-5.3973792380095418</v>
      </c>
      <c r="G109" s="13" t="s">
        <v>43</v>
      </c>
    </row>
    <row r="110" spans="2:7" x14ac:dyDescent="0.2">
      <c r="B110" s="7">
        <v>2025</v>
      </c>
      <c r="C110" s="9">
        <f>'loss reserve and loss ratio'!I110</f>
        <v>5607230</v>
      </c>
      <c r="D110" s="10">
        <f>'loss reserve and loss ratio'!J110</f>
        <v>43.2080256560591</v>
      </c>
      <c r="E110">
        <v>53.58</v>
      </c>
      <c r="F110" s="10">
        <f t="shared" si="5"/>
        <v>-10.371974343940899</v>
      </c>
      <c r="G110" s="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Loss Development</vt:lpstr>
      <vt:lpstr>year to ultimate LDF</vt:lpstr>
      <vt:lpstr>loss reserve and loss ratio</vt:lpstr>
      <vt:lpstr>rate adequacy verdict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 Kandel</dc:creator>
  <cp:lastModifiedBy>Pushkar  Kandel</cp:lastModifiedBy>
  <dcterms:created xsi:type="dcterms:W3CDTF">2026-07-25T23:48:34Z</dcterms:created>
  <dcterms:modified xsi:type="dcterms:W3CDTF">2026-07-27T00:54:04Z</dcterms:modified>
</cp:coreProperties>
</file>