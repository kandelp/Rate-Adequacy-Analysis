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kandel/Documents/Jobs/"/>
    </mc:Choice>
  </mc:AlternateContent>
  <xr:revisionPtr revIDLastSave="0" documentId="13_ncr:1_{C99D5096-9443-7D42-B9F7-8C4FDC9D7BE2}" xr6:coauthVersionLast="47" xr6:coauthVersionMax="47" xr10:uidLastSave="{00000000-0000-0000-0000-000000000000}"/>
  <bookViews>
    <workbookView xWindow="0" yWindow="500" windowWidth="33600" windowHeight="19360" activeTab="1" xr2:uid="{6D18F7EE-49F5-B943-BCD4-9F41F6ABF674}"/>
  </bookViews>
  <sheets>
    <sheet name="Loss Development Triangles" sheetId="1" r:id="rId1"/>
    <sheet name="year to ultimate LDF" sheetId="2" r:id="rId2"/>
    <sheet name="loss reserve and loss ratio" sheetId="3" r:id="rId3"/>
    <sheet name="rate adequacy verdict" sheetId="4" r:id="rId4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4" l="1"/>
  <c r="F10" i="4"/>
  <c r="F11" i="4"/>
  <c r="F12" i="4"/>
  <c r="F13" i="4"/>
  <c r="F14" i="4"/>
  <c r="F15" i="4"/>
  <c r="F16" i="4"/>
  <c r="F17" i="4"/>
  <c r="F18" i="4"/>
  <c r="G9" i="3"/>
  <c r="H9" i="3" s="1"/>
  <c r="G10" i="3"/>
  <c r="H10" i="3" s="1"/>
  <c r="G11" i="3"/>
  <c r="J11" i="3" s="1"/>
  <c r="G12" i="3"/>
  <c r="H12" i="3" s="1"/>
  <c r="G13" i="3"/>
  <c r="H13" i="3" s="1"/>
  <c r="G14" i="3"/>
  <c r="H14" i="3" s="1"/>
  <c r="G15" i="3"/>
  <c r="J15" i="3" s="1"/>
  <c r="H15" i="3"/>
  <c r="G16" i="3"/>
  <c r="H16" i="3" s="1"/>
  <c r="J16" i="3"/>
  <c r="G17" i="3"/>
  <c r="H17" i="3" s="1"/>
  <c r="J17" i="3"/>
  <c r="G18" i="3"/>
  <c r="J18" i="3" s="1"/>
  <c r="H18" i="3"/>
  <c r="I19" i="3"/>
  <c r="F110" i="4"/>
  <c r="F109" i="4"/>
  <c r="F108" i="4"/>
  <c r="F107" i="4"/>
  <c r="F106" i="4"/>
  <c r="F105" i="4"/>
  <c r="F104" i="4"/>
  <c r="F103" i="4"/>
  <c r="F102" i="4"/>
  <c r="F101" i="4"/>
  <c r="F92" i="4"/>
  <c r="F91" i="4"/>
  <c r="F90" i="4"/>
  <c r="F89" i="4"/>
  <c r="F88" i="4"/>
  <c r="F87" i="4"/>
  <c r="F86" i="4"/>
  <c r="F85" i="4"/>
  <c r="F84" i="4"/>
  <c r="F83" i="4"/>
  <c r="I111" i="3"/>
  <c r="I93" i="3"/>
  <c r="G110" i="3"/>
  <c r="H110" i="3" s="1"/>
  <c r="G109" i="3"/>
  <c r="H109" i="3" s="1"/>
  <c r="G108" i="3"/>
  <c r="H108" i="3" s="1"/>
  <c r="G107" i="3"/>
  <c r="J107" i="3" s="1"/>
  <c r="G106" i="3"/>
  <c r="H106" i="3" s="1"/>
  <c r="G105" i="3"/>
  <c r="H105" i="3" s="1"/>
  <c r="G104" i="3"/>
  <c r="H104" i="3" s="1"/>
  <c r="G103" i="3"/>
  <c r="H103" i="3" s="1"/>
  <c r="G102" i="3"/>
  <c r="H102" i="3" s="1"/>
  <c r="G101" i="3"/>
  <c r="H101" i="3" s="1"/>
  <c r="G92" i="3"/>
  <c r="J92" i="3" s="1"/>
  <c r="G91" i="3"/>
  <c r="J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J85" i="3" s="1"/>
  <c r="G84" i="3"/>
  <c r="J84" i="3" s="1"/>
  <c r="G83" i="3"/>
  <c r="H83" i="3" s="1"/>
  <c r="D109" i="2"/>
  <c r="F109" i="2" s="1"/>
  <c r="D108" i="2"/>
  <c r="F108" i="2" s="1"/>
  <c r="D107" i="2"/>
  <c r="F107" i="2" s="1"/>
  <c r="D106" i="2"/>
  <c r="D105" i="2"/>
  <c r="F105" i="2" s="1"/>
  <c r="D104" i="2"/>
  <c r="D103" i="2"/>
  <c r="F103" i="2" s="1"/>
  <c r="D102" i="2"/>
  <c r="D101" i="2"/>
  <c r="F101" i="2" s="1"/>
  <c r="F91" i="2"/>
  <c r="D91" i="2"/>
  <c r="F90" i="2" s="1"/>
  <c r="D90" i="2"/>
  <c r="D89" i="2"/>
  <c r="F89" i="2" s="1"/>
  <c r="D88" i="2"/>
  <c r="D87" i="2"/>
  <c r="F87" i="2" s="1"/>
  <c r="D86" i="2"/>
  <c r="D85" i="2"/>
  <c r="F85" i="2" s="1"/>
  <c r="D84" i="2"/>
  <c r="F84" i="2" s="1"/>
  <c r="D83" i="2"/>
  <c r="F74" i="4"/>
  <c r="F73" i="4"/>
  <c r="F72" i="4"/>
  <c r="F71" i="4"/>
  <c r="F70" i="4"/>
  <c r="F69" i="4"/>
  <c r="F68" i="4"/>
  <c r="F67" i="4"/>
  <c r="F66" i="4"/>
  <c r="F65" i="4"/>
  <c r="J74" i="3"/>
  <c r="J70" i="3"/>
  <c r="J68" i="3"/>
  <c r="J66" i="3"/>
  <c r="I75" i="3"/>
  <c r="H74" i="3"/>
  <c r="H66" i="3"/>
  <c r="G74" i="3"/>
  <c r="G73" i="3"/>
  <c r="J73" i="3" s="1"/>
  <c r="G72" i="3"/>
  <c r="H72" i="3" s="1"/>
  <c r="G71" i="3"/>
  <c r="H71" i="3" s="1"/>
  <c r="G70" i="3"/>
  <c r="H70" i="3" s="1"/>
  <c r="G69" i="3"/>
  <c r="J69" i="3" s="1"/>
  <c r="G68" i="3"/>
  <c r="H68" i="3" s="1"/>
  <c r="G67" i="3"/>
  <c r="J67" i="3" s="1"/>
  <c r="G66" i="3"/>
  <c r="G65" i="3"/>
  <c r="D73" i="2"/>
  <c r="F73" i="2" s="1"/>
  <c r="D72" i="2"/>
  <c r="F72" i="2" s="1"/>
  <c r="D71" i="2"/>
  <c r="D70" i="2"/>
  <c r="F70" i="2" s="1"/>
  <c r="D69" i="2"/>
  <c r="F68" i="2" s="1"/>
  <c r="D68" i="2"/>
  <c r="D67" i="2"/>
  <c r="F67" i="2" s="1"/>
  <c r="D66" i="2"/>
  <c r="D65" i="2"/>
  <c r="F65" i="2" s="1"/>
  <c r="F56" i="4"/>
  <c r="F55" i="4"/>
  <c r="F54" i="4"/>
  <c r="F53" i="4"/>
  <c r="F52" i="4"/>
  <c r="F51" i="4"/>
  <c r="F50" i="4"/>
  <c r="F49" i="4"/>
  <c r="F48" i="4"/>
  <c r="F47" i="4"/>
  <c r="I57" i="3"/>
  <c r="H52" i="3"/>
  <c r="G56" i="3"/>
  <c r="H56" i="3" s="1"/>
  <c r="G55" i="3"/>
  <c r="H55" i="3" s="1"/>
  <c r="G54" i="3"/>
  <c r="J54" i="3" s="1"/>
  <c r="G53" i="3"/>
  <c r="H53" i="3" s="1"/>
  <c r="G52" i="3"/>
  <c r="J52" i="3" s="1"/>
  <c r="G51" i="3"/>
  <c r="H51" i="3" s="1"/>
  <c r="G50" i="3"/>
  <c r="J50" i="3" s="1"/>
  <c r="G49" i="3"/>
  <c r="J49" i="3" s="1"/>
  <c r="G48" i="3"/>
  <c r="J48" i="3" s="1"/>
  <c r="G47" i="3"/>
  <c r="F17" i="2"/>
  <c r="D17" i="2"/>
  <c r="F16" i="2" s="1"/>
  <c r="D16" i="2"/>
  <c r="D15" i="2"/>
  <c r="F15" i="2" s="1"/>
  <c r="D14" i="2"/>
  <c r="D13" i="2"/>
  <c r="F13" i="2" s="1"/>
  <c r="D12" i="2"/>
  <c r="F12" i="2" s="1"/>
  <c r="D11" i="2"/>
  <c r="F11" i="2" s="1"/>
  <c r="D10" i="2"/>
  <c r="F10" i="2" s="1"/>
  <c r="D9" i="2"/>
  <c r="D55" i="2"/>
  <c r="F55" i="2" s="1"/>
  <c r="D54" i="2"/>
  <c r="D53" i="2"/>
  <c r="F53" i="2" s="1"/>
  <c r="D52" i="2"/>
  <c r="F52" i="2" s="1"/>
  <c r="D51" i="2"/>
  <c r="F51" i="2" s="1"/>
  <c r="D50" i="2"/>
  <c r="F50" i="2" s="1"/>
  <c r="D49" i="2"/>
  <c r="F48" i="2" s="1"/>
  <c r="D48" i="2"/>
  <c r="D47" i="2"/>
  <c r="F47" i="2" s="1"/>
  <c r="F38" i="4"/>
  <c r="F37" i="4"/>
  <c r="F36" i="4"/>
  <c r="F35" i="4"/>
  <c r="F34" i="4"/>
  <c r="F33" i="4"/>
  <c r="F32" i="4"/>
  <c r="F31" i="4"/>
  <c r="F30" i="4"/>
  <c r="F29" i="4"/>
  <c r="J38" i="3"/>
  <c r="J36" i="3"/>
  <c r="J35" i="3"/>
  <c r="J34" i="3"/>
  <c r="J30" i="3"/>
  <c r="J29" i="3"/>
  <c r="I39" i="3"/>
  <c r="H38" i="3"/>
  <c r="H30" i="3"/>
  <c r="H29" i="3"/>
  <c r="G38" i="3"/>
  <c r="G37" i="3"/>
  <c r="J37" i="3" s="1"/>
  <c r="G36" i="3"/>
  <c r="H36" i="3" s="1"/>
  <c r="G35" i="3"/>
  <c r="H35" i="3" s="1"/>
  <c r="G34" i="3"/>
  <c r="H34" i="3" s="1"/>
  <c r="G33" i="3"/>
  <c r="J33" i="3" s="1"/>
  <c r="G32" i="3"/>
  <c r="J32" i="3" s="1"/>
  <c r="G31" i="3"/>
  <c r="J31" i="3" s="1"/>
  <c r="G30" i="3"/>
  <c r="G29" i="3"/>
  <c r="D37" i="2"/>
  <c r="F37" i="2" s="1"/>
  <c r="D36" i="2"/>
  <c r="D35" i="2"/>
  <c r="D34" i="2"/>
  <c r="D33" i="2"/>
  <c r="D32" i="2"/>
  <c r="D31" i="2"/>
  <c r="D30" i="2"/>
  <c r="D29" i="2"/>
  <c r="G75" i="3" l="1"/>
  <c r="J75" i="3" s="1"/>
  <c r="H37" i="3"/>
  <c r="J13" i="3"/>
  <c r="H54" i="3"/>
  <c r="H69" i="3"/>
  <c r="J71" i="3"/>
  <c r="J12" i="3"/>
  <c r="H32" i="3"/>
  <c r="H33" i="3"/>
  <c r="J72" i="3"/>
  <c r="G19" i="3"/>
  <c r="J19" i="3" s="1"/>
  <c r="J10" i="3"/>
  <c r="J9" i="3"/>
  <c r="J14" i="3"/>
  <c r="H11" i="3"/>
  <c r="H19" i="3" s="1"/>
  <c r="H31" i="3"/>
  <c r="J53" i="3"/>
  <c r="H65" i="3"/>
  <c r="H73" i="3"/>
  <c r="F106" i="2"/>
  <c r="H91" i="3"/>
  <c r="H107" i="3"/>
  <c r="H111" i="3" s="1"/>
  <c r="J86" i="3"/>
  <c r="J108" i="3"/>
  <c r="F69" i="2"/>
  <c r="F83" i="2"/>
  <c r="H84" i="3"/>
  <c r="H93" i="3" s="1"/>
  <c r="H92" i="3"/>
  <c r="J87" i="3"/>
  <c r="J101" i="3"/>
  <c r="J109" i="3"/>
  <c r="F49" i="2"/>
  <c r="H67" i="3"/>
  <c r="H85" i="3"/>
  <c r="J88" i="3"/>
  <c r="J102" i="3"/>
  <c r="J110" i="3"/>
  <c r="F9" i="2"/>
  <c r="F71" i="2"/>
  <c r="J65" i="3"/>
  <c r="J89" i="3"/>
  <c r="J103" i="3"/>
  <c r="G39" i="3"/>
  <c r="J39" i="3" s="1"/>
  <c r="F86" i="2"/>
  <c r="F102" i="2"/>
  <c r="G93" i="3"/>
  <c r="J93" i="3" s="1"/>
  <c r="J90" i="3"/>
  <c r="J104" i="3"/>
  <c r="J83" i="3"/>
  <c r="J105" i="3"/>
  <c r="F66" i="2"/>
  <c r="F88" i="2"/>
  <c r="F104" i="2"/>
  <c r="G111" i="3"/>
  <c r="J111" i="3" s="1"/>
  <c r="J106" i="3"/>
  <c r="F54" i="2"/>
  <c r="F14" i="2"/>
  <c r="J56" i="3"/>
  <c r="J55" i="3"/>
  <c r="J51" i="3"/>
  <c r="H50" i="3"/>
  <c r="H49" i="3"/>
  <c r="H48" i="3"/>
  <c r="G57" i="3"/>
  <c r="J57" i="3" s="1"/>
  <c r="J47" i="3"/>
  <c r="H47" i="3"/>
  <c r="F33" i="2"/>
  <c r="F34" i="2"/>
  <c r="F36" i="2"/>
  <c r="F35" i="2"/>
  <c r="F29" i="2"/>
  <c r="F30" i="2"/>
  <c r="F31" i="2"/>
  <c r="F32" i="2"/>
  <c r="H39" i="3" l="1"/>
  <c r="H75" i="3"/>
  <c r="H57" i="3"/>
</calcChain>
</file>

<file path=xl/sharedStrings.xml><?xml version="1.0" encoding="utf-8"?>
<sst xmlns="http://schemas.openxmlformats.org/spreadsheetml/2006/main" count="294" uniqueCount="46">
  <si>
    <t>Years in which losses where incurred</t>
  </si>
  <si>
    <t>Volume weighted loss development factor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</si>
  <si>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</si>
  <si>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</si>
  <si>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</si>
  <si>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</si>
  <si>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</si>
  <si>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</si>
  <si>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</si>
  <si>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</si>
  <si>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</si>
  <si>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</si>
  <si>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Year to ultimate loss development factor</t>
  </si>
  <si>
    <t>1 to ultimate</t>
  </si>
  <si>
    <t>2 to ultimate</t>
  </si>
  <si>
    <t>3 to ultimate</t>
  </si>
  <si>
    <t>4 to ultimate</t>
  </si>
  <si>
    <t>5 to ultimate</t>
  </si>
  <si>
    <t>6 to ultimate</t>
  </si>
  <si>
    <t>7 to ultimate</t>
  </si>
  <si>
    <t>8 to ultimate</t>
  </si>
  <si>
    <t>9 to ultimate</t>
  </si>
  <si>
    <t>10 to ultimate</t>
  </si>
  <si>
    <t>Accident Year</t>
  </si>
  <si>
    <t>Cumulative paid loss to date</t>
  </si>
  <si>
    <t>Age at latest evaluation</t>
  </si>
  <si>
    <t>Ultimate Loss development Factor</t>
  </si>
  <si>
    <t>Expected Loss(Chain Ladder Method)</t>
  </si>
  <si>
    <t>Loss Reserves(Chain Ladder Method)</t>
  </si>
  <si>
    <t>Total</t>
  </si>
  <si>
    <t>Earned Premiums</t>
  </si>
  <si>
    <t>Expected Loss Ratio</t>
  </si>
  <si>
    <t>Indicative Loss Ratio(Percentage)</t>
  </si>
  <si>
    <t>Target Loss Ratio%(Average )</t>
  </si>
  <si>
    <t>Difference(Points)</t>
  </si>
  <si>
    <t>Rate Adequacy  Verdict</t>
  </si>
  <si>
    <t>Roughly Adequate</t>
  </si>
  <si>
    <t>Undercharged</t>
  </si>
  <si>
    <t>Overcharged</t>
  </si>
  <si>
    <t>Combined Cumulative Net Losses Across All Business</t>
  </si>
  <si>
    <t>Cumulative Net losses For Homeowners and Farmowners</t>
  </si>
  <si>
    <t>Cumulative Net losses For PRIVATE PASSENGER AUTO LIABILITY/MEDICAL</t>
  </si>
  <si>
    <t>Cumulative Net losses For COMMERCIAL AUTO/TRUCK LIABILITY/MEDICAL</t>
  </si>
  <si>
    <t>Cumulative Net losses For WORKERS' COMPENSATION</t>
  </si>
  <si>
    <t>Cumulative Net losses For COMMERCIAL MULTIPLE PERIL</t>
  </si>
  <si>
    <t>Roughly  Adequate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</si>
</sst>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color theme="1"/>
      <name val="EagleTMMaster"/>
    </font>
    <font>
      <b/>
      <sz val="14"/>
      <color rgb="FF1F4E78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8"/>
      <color rgb="FF000000"/>
      <name val="EagleTMMaster"/>
    </font>
    <font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2" fontId="0" fillId="0" borderId="0" xfId="0" applyNumberForma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3" fontId="4" fillId="0" borderId="0" xfId="0" applyNumberFormat="1" applyFont="1"/>
    <xf numFmtId="0" fontId="4" fillId="2" borderId="0" xfId="0" applyFont="1" applyFill="1"/>
    <xf numFmtId="0" fontId="4" fillId="3" borderId="0" xfId="0" applyFont="1" applyFill="1"/>
    <xf numFmtId="0" fontId="0" fillId="4" borderId="0" xfId="0" applyFill="1"/>
    <xf numFmtId="3" fontId="1" fillId="0" borderId="0" xfId="0" applyNumberFormat="1" applyFont="1"/>
    <xf numFmtId="3" fontId="5" fillId="0" borderId="0" xfId="0" applyNumberFormat="1" applyFont="1"/>
    <xf numFmtId="0" fontId="6" fillId="4" borderId="0" xfId="0" applyFont="1" applyFill="1"/>
    <xf numFmtId="3" fontId="7" fillId="0" borderId="0" xfId="0" applyNumberFormat="1" applyFont="1"/>
    <xf numFmtId="0" fontId="5" fillId="0" borderId="0" xfId="0" applyFont="1"/>
    <xf numFmtId="3" fontId="8" fillId="0" borderId="0" xfId="0" applyNumberFormat="1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1E44-F71C-DE4A-99A4-5DB53C57A27F}">
  <dimension ref="A6:M110"/>
  <sheetViews>
    <sheetView zoomScale="131" zoomScaleNormal="131" workbookViewId="0">
      <selection activeCell="B80" sqref="B80"/>
    </sheetView>
  </sheetViews>
  <sheetFormatPr baseColWidth="10" defaultRowHeight="16"/>
  <cols>
    <col min="2" max="2" width="48.83203125" bestFit="1" customWidth="1"/>
  </cols>
  <sheetData>
    <row r="6" spans="1:12" ht="18">
      <c r="A6" s="4"/>
      <c r="B6" s="10" t="s">
        <v>39</v>
      </c>
    </row>
    <row r="8" spans="1:12">
      <c r="B8" s="5" t="s">
        <v>0</v>
      </c>
      <c r="C8" s="5">
        <v>0</v>
      </c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</row>
    <row r="9" spans="1:12">
      <c r="B9" s="5">
        <v>2016</v>
      </c>
      <c r="C9">
        <v>7964946</v>
      </c>
      <c r="D9">
        <v>11241095</v>
      </c>
      <c r="E9">
        <v>13257988</v>
      </c>
      <c r="F9">
        <v>14688022</v>
      </c>
      <c r="G9">
        <v>15458491</v>
      </c>
      <c r="H9">
        <v>15962513</v>
      </c>
      <c r="I9">
        <v>16386278</v>
      </c>
      <c r="J9">
        <v>16606627</v>
      </c>
      <c r="K9">
        <v>16825042</v>
      </c>
      <c r="L9">
        <v>16930457</v>
      </c>
    </row>
    <row r="10" spans="1:12">
      <c r="B10" s="5">
        <v>2017</v>
      </c>
      <c r="C10">
        <v>8618133</v>
      </c>
      <c r="D10">
        <v>13151813</v>
      </c>
      <c r="E10">
        <v>15225336</v>
      </c>
      <c r="F10">
        <v>16352926</v>
      </c>
      <c r="G10">
        <v>17458322</v>
      </c>
      <c r="H10">
        <v>18197608</v>
      </c>
      <c r="I10">
        <v>18712239</v>
      </c>
      <c r="J10">
        <v>19057962</v>
      </c>
      <c r="K10">
        <v>19282126</v>
      </c>
      <c r="L10">
        <v>0</v>
      </c>
    </row>
    <row r="11" spans="1:12">
      <c r="B11" s="5">
        <v>2018</v>
      </c>
      <c r="C11">
        <v>9145166</v>
      </c>
      <c r="D11">
        <v>13760904</v>
      </c>
      <c r="E11">
        <v>15726441</v>
      </c>
      <c r="F11">
        <v>17194799</v>
      </c>
      <c r="G11">
        <v>18409660</v>
      </c>
      <c r="H11">
        <v>19226690</v>
      </c>
      <c r="I11">
        <v>19772597</v>
      </c>
      <c r="J11">
        <v>20057256</v>
      </c>
      <c r="K11">
        <v>0</v>
      </c>
      <c r="L11">
        <v>0</v>
      </c>
    </row>
    <row r="12" spans="1:12">
      <c r="B12" s="5">
        <v>2019</v>
      </c>
      <c r="C12">
        <v>9582716</v>
      </c>
      <c r="D12">
        <v>13549187</v>
      </c>
      <c r="E12">
        <v>15775684</v>
      </c>
      <c r="F12">
        <v>17451029</v>
      </c>
      <c r="G12">
        <v>18628084</v>
      </c>
      <c r="H12">
        <v>19475321</v>
      </c>
      <c r="I12">
        <v>20076247</v>
      </c>
      <c r="J12">
        <v>0</v>
      </c>
      <c r="K12">
        <v>0</v>
      </c>
      <c r="L12">
        <v>0</v>
      </c>
    </row>
    <row r="13" spans="1:12">
      <c r="B13" s="5">
        <v>2020</v>
      </c>
      <c r="C13">
        <v>8890414</v>
      </c>
      <c r="D13">
        <v>12727542</v>
      </c>
      <c r="E13">
        <v>14507599</v>
      </c>
      <c r="F13">
        <v>15905843</v>
      </c>
      <c r="G13">
        <v>16881346</v>
      </c>
      <c r="H13">
        <v>17700445</v>
      </c>
      <c r="I13">
        <v>0</v>
      </c>
      <c r="J13">
        <v>0</v>
      </c>
      <c r="K13">
        <v>0</v>
      </c>
      <c r="L13">
        <v>0</v>
      </c>
    </row>
    <row r="14" spans="1:12">
      <c r="B14" s="5">
        <v>2021</v>
      </c>
      <c r="C14">
        <v>10145792</v>
      </c>
      <c r="D14">
        <v>14969273</v>
      </c>
      <c r="E14">
        <v>17144340</v>
      </c>
      <c r="F14">
        <v>18656299</v>
      </c>
      <c r="G14">
        <v>19547276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B15" s="5">
        <v>2022</v>
      </c>
      <c r="C15">
        <v>11236402</v>
      </c>
      <c r="D15">
        <v>17635295</v>
      </c>
      <c r="E15">
        <v>20206175</v>
      </c>
      <c r="F15">
        <v>21757828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B16" s="5">
        <v>2023</v>
      </c>
      <c r="C16">
        <v>12732411</v>
      </c>
      <c r="D16">
        <v>18531516</v>
      </c>
      <c r="E16">
        <v>20987296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2:12">
      <c r="B17" s="5">
        <v>2024</v>
      </c>
      <c r="C17">
        <v>9959683</v>
      </c>
      <c r="D17">
        <v>14658662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2:12">
      <c r="B18" s="5">
        <v>2025</v>
      </c>
      <c r="C18">
        <v>8433068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26" spans="2:12">
      <c r="B26" s="10" t="s">
        <v>40</v>
      </c>
    </row>
    <row r="28" spans="2:12">
      <c r="B28" t="s">
        <v>0</v>
      </c>
      <c r="C28">
        <v>0</v>
      </c>
      <c r="D28">
        <v>1</v>
      </c>
      <c r="E28">
        <v>2</v>
      </c>
      <c r="F28">
        <v>3</v>
      </c>
      <c r="G28">
        <v>4</v>
      </c>
      <c r="H28">
        <v>5</v>
      </c>
      <c r="I28">
        <v>6</v>
      </c>
      <c r="J28">
        <v>7</v>
      </c>
      <c r="K28">
        <v>8</v>
      </c>
      <c r="L28">
        <v>9</v>
      </c>
    </row>
    <row r="29" spans="2:12">
      <c r="B29">
        <v>2016</v>
      </c>
      <c r="C29" s="1">
        <v>2423845</v>
      </c>
      <c r="D29" s="1">
        <v>3091246</v>
      </c>
      <c r="E29" s="1">
        <v>3211023</v>
      </c>
      <c r="F29" s="1">
        <v>3264217</v>
      </c>
      <c r="G29" s="1">
        <v>3286436</v>
      </c>
      <c r="H29" s="1">
        <v>3296712</v>
      </c>
      <c r="I29" s="1">
        <v>3303156</v>
      </c>
      <c r="J29" s="1">
        <v>3310486</v>
      </c>
      <c r="K29" s="1">
        <v>3318809</v>
      </c>
      <c r="L29" s="1">
        <v>3321354</v>
      </c>
    </row>
    <row r="30" spans="2:12">
      <c r="B30">
        <v>2017</v>
      </c>
      <c r="C30" s="1">
        <v>2870888</v>
      </c>
      <c r="D30" s="1">
        <v>3633255</v>
      </c>
      <c r="E30" s="11">
        <v>3856307</v>
      </c>
      <c r="F30" s="1">
        <v>3752149</v>
      </c>
      <c r="G30" s="1">
        <v>3789187</v>
      </c>
      <c r="H30" s="1">
        <v>3803008</v>
      </c>
      <c r="I30" s="1">
        <v>3809519</v>
      </c>
      <c r="J30" s="1">
        <v>3817286</v>
      </c>
      <c r="K30" s="1">
        <v>3820003</v>
      </c>
      <c r="L30" s="1">
        <v>0</v>
      </c>
    </row>
    <row r="31" spans="2:12">
      <c r="B31">
        <v>2018</v>
      </c>
      <c r="C31" s="1">
        <v>2620286</v>
      </c>
      <c r="D31" s="1">
        <v>3502130</v>
      </c>
      <c r="E31" s="1">
        <v>3597539</v>
      </c>
      <c r="F31" s="1">
        <v>3649075</v>
      </c>
      <c r="G31" s="1">
        <v>3685401</v>
      </c>
      <c r="H31" s="1">
        <v>3706398</v>
      </c>
      <c r="I31" s="1">
        <v>3717877</v>
      </c>
      <c r="J31" s="1">
        <v>3721713</v>
      </c>
      <c r="K31" s="1">
        <v>0</v>
      </c>
      <c r="L31" s="1">
        <v>0</v>
      </c>
    </row>
    <row r="32" spans="2:12">
      <c r="B32">
        <v>2019</v>
      </c>
      <c r="C32" s="12">
        <v>2671576</v>
      </c>
      <c r="D32" s="1">
        <v>3554709</v>
      </c>
      <c r="E32" s="1">
        <v>3725461</v>
      </c>
      <c r="F32" s="1">
        <v>3789792</v>
      </c>
      <c r="G32" s="1">
        <v>3834923</v>
      </c>
      <c r="H32" s="1">
        <v>3857832</v>
      </c>
      <c r="I32" s="1">
        <v>3866451</v>
      </c>
      <c r="J32" s="1">
        <v>0</v>
      </c>
      <c r="K32" s="1">
        <v>0</v>
      </c>
      <c r="L32" s="1">
        <v>0</v>
      </c>
    </row>
    <row r="33" spans="2:12">
      <c r="B33">
        <v>2020</v>
      </c>
      <c r="C33" s="1">
        <v>3010217</v>
      </c>
      <c r="D33" s="1">
        <v>4101536</v>
      </c>
      <c r="E33" s="1">
        <v>4308749</v>
      </c>
      <c r="F33" s="1">
        <v>4402119</v>
      </c>
      <c r="G33" s="1">
        <v>4444123</v>
      </c>
      <c r="H33" s="1">
        <v>4460628</v>
      </c>
      <c r="I33" s="1">
        <v>0</v>
      </c>
      <c r="J33" s="1">
        <v>0</v>
      </c>
      <c r="K33" s="1">
        <v>0</v>
      </c>
      <c r="L33" s="1">
        <v>0</v>
      </c>
    </row>
    <row r="34" spans="2:12">
      <c r="B34">
        <v>2021</v>
      </c>
      <c r="C34" s="1">
        <v>3746198</v>
      </c>
      <c r="D34" s="1">
        <v>5158177</v>
      </c>
      <c r="E34" s="1">
        <v>5332074</v>
      </c>
      <c r="F34" s="1">
        <v>5411191</v>
      </c>
      <c r="G34" s="1">
        <v>5444061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2:12">
      <c r="B35">
        <v>2022</v>
      </c>
      <c r="C35" s="1">
        <v>3523779</v>
      </c>
      <c r="D35" s="1">
        <v>5210673</v>
      </c>
      <c r="E35" s="1">
        <v>5467954</v>
      </c>
      <c r="F35" s="1">
        <v>5559443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2:12">
      <c r="B36">
        <v>2023</v>
      </c>
      <c r="C36" s="1">
        <v>4630317</v>
      </c>
      <c r="D36" s="1">
        <v>6223329</v>
      </c>
      <c r="E36" s="1">
        <v>6505882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2:12">
      <c r="B37">
        <v>2024</v>
      </c>
      <c r="C37" s="1">
        <v>3558853</v>
      </c>
      <c r="D37" s="1">
        <v>4830559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2:12">
      <c r="B38">
        <v>2025</v>
      </c>
      <c r="C38" s="1">
        <v>3401457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44" spans="2:12">
      <c r="B44" s="13" t="s">
        <v>41</v>
      </c>
    </row>
    <row r="46" spans="2:12">
      <c r="B46" t="s">
        <v>0</v>
      </c>
      <c r="C46">
        <v>0</v>
      </c>
      <c r="D46">
        <v>1</v>
      </c>
      <c r="E46">
        <v>2</v>
      </c>
      <c r="F46">
        <v>3</v>
      </c>
      <c r="G46">
        <v>4</v>
      </c>
      <c r="H46">
        <v>5</v>
      </c>
      <c r="I46">
        <v>6</v>
      </c>
      <c r="J46">
        <v>7</v>
      </c>
      <c r="K46">
        <v>8</v>
      </c>
      <c r="L46">
        <v>9</v>
      </c>
    </row>
    <row r="47" spans="2:12">
      <c r="B47">
        <v>2016</v>
      </c>
      <c r="C47" s="1">
        <v>1665096</v>
      </c>
      <c r="D47" s="1">
        <v>3019298</v>
      </c>
      <c r="E47" s="1">
        <v>3761891</v>
      </c>
      <c r="F47" s="1">
        <v>4244638</v>
      </c>
      <c r="G47" s="1">
        <v>4469729</v>
      </c>
      <c r="H47" s="1">
        <v>4594118</v>
      </c>
      <c r="I47" s="1">
        <v>4672661</v>
      </c>
      <c r="J47" s="1">
        <v>4706971</v>
      </c>
      <c r="K47" s="1">
        <v>4731272</v>
      </c>
      <c r="L47" s="1">
        <v>4737279</v>
      </c>
    </row>
    <row r="48" spans="2:12">
      <c r="B48">
        <v>2017</v>
      </c>
      <c r="C48" s="1">
        <v>1658881</v>
      </c>
      <c r="D48" s="12">
        <v>3030214</v>
      </c>
      <c r="E48" s="12">
        <v>3739995</v>
      </c>
      <c r="F48" s="12">
        <v>4152308</v>
      </c>
      <c r="G48" s="12">
        <v>4429615</v>
      </c>
      <c r="H48" s="12">
        <v>4599778</v>
      </c>
      <c r="I48" s="12">
        <v>4677407</v>
      </c>
      <c r="J48" s="12">
        <v>4710523</v>
      </c>
      <c r="K48" s="12">
        <v>4717707</v>
      </c>
      <c r="L48" s="12">
        <v>0</v>
      </c>
    </row>
    <row r="49" spans="2:13">
      <c r="B49">
        <v>2018</v>
      </c>
      <c r="C49" s="12">
        <v>1631008</v>
      </c>
      <c r="D49" s="12">
        <v>3004977</v>
      </c>
      <c r="E49" s="12">
        <v>3689877</v>
      </c>
      <c r="F49" s="12">
        <v>4167167</v>
      </c>
      <c r="G49" s="12">
        <v>4468749</v>
      </c>
      <c r="H49" s="12">
        <v>4629166</v>
      </c>
      <c r="I49" s="12">
        <v>4717380</v>
      </c>
      <c r="J49" s="12">
        <v>4735270</v>
      </c>
      <c r="K49" s="12">
        <v>0</v>
      </c>
      <c r="L49" s="12">
        <v>0</v>
      </c>
    </row>
    <row r="50" spans="2:13">
      <c r="B50">
        <v>2019</v>
      </c>
      <c r="C50" s="12">
        <v>1634420</v>
      </c>
      <c r="D50" s="12">
        <v>2900718</v>
      </c>
      <c r="E50" s="12">
        <v>3622492</v>
      </c>
      <c r="F50" s="12">
        <v>4130626</v>
      </c>
      <c r="G50" s="12">
        <v>4452611</v>
      </c>
      <c r="H50" s="12">
        <v>4590971</v>
      </c>
      <c r="I50" s="12">
        <v>4640838</v>
      </c>
      <c r="J50" s="12">
        <v>0</v>
      </c>
      <c r="K50" s="12">
        <v>0</v>
      </c>
      <c r="L50" s="12">
        <v>0</v>
      </c>
    </row>
    <row r="51" spans="2:13">
      <c r="B51">
        <v>2020</v>
      </c>
      <c r="C51" s="12">
        <v>1262753</v>
      </c>
      <c r="D51" s="12">
        <v>2336814</v>
      </c>
      <c r="E51" s="12">
        <v>2945538</v>
      </c>
      <c r="F51" s="12">
        <v>3371223</v>
      </c>
      <c r="G51" s="12">
        <v>3564490</v>
      </c>
      <c r="H51" s="12">
        <v>3636672</v>
      </c>
      <c r="I51" s="12">
        <v>0</v>
      </c>
      <c r="J51" s="12">
        <v>0</v>
      </c>
      <c r="K51" s="12">
        <v>0</v>
      </c>
      <c r="L51" s="12">
        <v>0</v>
      </c>
    </row>
    <row r="52" spans="2:13">
      <c r="B52">
        <v>2021</v>
      </c>
      <c r="C52" s="12">
        <v>1558964</v>
      </c>
      <c r="D52" s="12">
        <v>3111483</v>
      </c>
      <c r="E52" s="12">
        <v>3994070</v>
      </c>
      <c r="F52" s="12">
        <v>4468657</v>
      </c>
      <c r="G52" s="12">
        <v>4674585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2"/>
    </row>
    <row r="53" spans="2:13">
      <c r="B53">
        <v>2022</v>
      </c>
      <c r="C53" s="12">
        <v>1949133</v>
      </c>
      <c r="D53" s="12">
        <v>3839271</v>
      </c>
      <c r="E53" s="12">
        <v>4758065</v>
      </c>
      <c r="F53" s="12">
        <v>5218593</v>
      </c>
      <c r="G53" s="15"/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2"/>
    </row>
    <row r="54" spans="2:13">
      <c r="B54">
        <v>2023</v>
      </c>
      <c r="C54" s="12">
        <v>1870969</v>
      </c>
      <c r="D54" s="12">
        <v>3569997</v>
      </c>
      <c r="E54" s="12">
        <v>4418368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</row>
    <row r="55" spans="2:13">
      <c r="B55">
        <v>2024</v>
      </c>
      <c r="C55" s="12">
        <v>1563421</v>
      </c>
      <c r="D55" s="12">
        <v>2908115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6">
        <v>0</v>
      </c>
      <c r="L55" s="16">
        <v>0</v>
      </c>
      <c r="M55" s="14"/>
    </row>
    <row r="56" spans="2:13">
      <c r="B56">
        <v>2025</v>
      </c>
      <c r="C56" s="12">
        <v>1180595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6">
        <v>0</v>
      </c>
      <c r="K56" s="16">
        <v>0</v>
      </c>
      <c r="L56" s="16">
        <v>0</v>
      </c>
    </row>
    <row r="62" spans="2:13">
      <c r="B62" s="13" t="s">
        <v>42</v>
      </c>
    </row>
    <row r="64" spans="2:13">
      <c r="B64" t="s">
        <v>0</v>
      </c>
      <c r="C64">
        <v>0</v>
      </c>
      <c r="D64">
        <v>1</v>
      </c>
      <c r="E64">
        <v>2</v>
      </c>
      <c r="F64">
        <v>3</v>
      </c>
      <c r="G64">
        <v>4</v>
      </c>
      <c r="H64">
        <v>5</v>
      </c>
      <c r="I64">
        <v>6</v>
      </c>
      <c r="J64">
        <v>7</v>
      </c>
      <c r="K64">
        <v>8</v>
      </c>
      <c r="L64">
        <v>9</v>
      </c>
    </row>
    <row r="65" spans="2:13">
      <c r="B65">
        <v>2016</v>
      </c>
      <c r="C65" s="12">
        <v>181551</v>
      </c>
      <c r="D65" s="12">
        <v>439630</v>
      </c>
      <c r="E65" s="12">
        <v>720054</v>
      </c>
      <c r="F65" s="12">
        <v>949065</v>
      </c>
      <c r="G65" s="12">
        <v>1058473</v>
      </c>
      <c r="H65" s="12">
        <v>1107963</v>
      </c>
      <c r="I65" s="12">
        <v>1146391</v>
      </c>
      <c r="J65" s="12">
        <v>1165788</v>
      </c>
      <c r="K65" s="12">
        <v>1172562</v>
      </c>
      <c r="L65" s="12">
        <v>1174894</v>
      </c>
      <c r="M65" s="15"/>
    </row>
    <row r="66" spans="2:13">
      <c r="B66">
        <v>2017</v>
      </c>
      <c r="C66" s="12">
        <v>197593</v>
      </c>
      <c r="D66" s="12">
        <v>475939</v>
      </c>
      <c r="E66" s="12">
        <v>735503</v>
      </c>
      <c r="F66" s="12">
        <v>915383</v>
      </c>
      <c r="G66" s="12">
        <v>1039547</v>
      </c>
      <c r="H66" s="12">
        <v>1133959</v>
      </c>
      <c r="I66" s="12">
        <v>1190862</v>
      </c>
      <c r="J66" s="12">
        <v>1209299</v>
      </c>
      <c r="K66" s="12">
        <v>1217856</v>
      </c>
      <c r="L66" s="12">
        <v>0</v>
      </c>
      <c r="M66" s="15"/>
    </row>
    <row r="67" spans="2:13">
      <c r="B67">
        <v>2018</v>
      </c>
      <c r="C67" s="12">
        <v>188800</v>
      </c>
      <c r="D67" s="12">
        <v>440434</v>
      </c>
      <c r="E67" s="12">
        <v>678464</v>
      </c>
      <c r="F67" s="12">
        <v>863368</v>
      </c>
      <c r="G67" s="12">
        <v>1039210</v>
      </c>
      <c r="H67" s="12">
        <v>1141449</v>
      </c>
      <c r="I67" s="12">
        <v>1186346</v>
      </c>
      <c r="J67" s="12">
        <v>1208500</v>
      </c>
      <c r="K67" s="12">
        <v>0</v>
      </c>
      <c r="L67" s="12">
        <v>0</v>
      </c>
      <c r="M67" s="15"/>
    </row>
    <row r="68" spans="2:13">
      <c r="B68">
        <v>2019</v>
      </c>
      <c r="C68" s="12">
        <v>172783</v>
      </c>
      <c r="D68" s="12">
        <v>404194</v>
      </c>
      <c r="E68" s="12">
        <v>602509</v>
      </c>
      <c r="F68" s="12">
        <v>825369</v>
      </c>
      <c r="G68" s="12">
        <v>1031849</v>
      </c>
      <c r="H68" s="12">
        <v>1128379</v>
      </c>
      <c r="I68" s="12">
        <v>1163487</v>
      </c>
      <c r="J68" s="12">
        <v>0</v>
      </c>
      <c r="K68" s="12">
        <v>0</v>
      </c>
      <c r="L68" s="12">
        <v>0</v>
      </c>
      <c r="M68" s="15"/>
    </row>
    <row r="69" spans="2:13">
      <c r="B69">
        <v>2020</v>
      </c>
      <c r="C69" s="12">
        <v>124981</v>
      </c>
      <c r="D69" s="12">
        <v>283153</v>
      </c>
      <c r="E69" s="12">
        <v>475203</v>
      </c>
      <c r="F69" s="12">
        <v>667486</v>
      </c>
      <c r="G69" s="12">
        <v>801181</v>
      </c>
      <c r="H69" s="12">
        <v>853119</v>
      </c>
      <c r="I69" s="12">
        <v>0</v>
      </c>
      <c r="J69" s="12">
        <v>0</v>
      </c>
      <c r="K69" s="12">
        <v>0</v>
      </c>
      <c r="L69" s="12">
        <v>0</v>
      </c>
      <c r="M69" s="15"/>
    </row>
    <row r="70" spans="2:13">
      <c r="B70">
        <v>2021</v>
      </c>
      <c r="C70" s="12">
        <v>134272</v>
      </c>
      <c r="D70" s="12">
        <v>349929</v>
      </c>
      <c r="E70" s="12">
        <v>589902</v>
      </c>
      <c r="F70" s="12">
        <v>782375</v>
      </c>
      <c r="G70" s="12">
        <v>920892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/>
    </row>
    <row r="71" spans="2:13">
      <c r="B71">
        <v>2022</v>
      </c>
      <c r="C71" s="12">
        <v>171783</v>
      </c>
      <c r="D71" s="12">
        <v>450508</v>
      </c>
      <c r="E71" s="12">
        <v>734045</v>
      </c>
      <c r="F71" s="12">
        <v>977744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5"/>
    </row>
    <row r="72" spans="2:13">
      <c r="B72">
        <v>2023</v>
      </c>
      <c r="C72" s="12">
        <v>176995</v>
      </c>
      <c r="D72" s="12">
        <v>452136</v>
      </c>
      <c r="E72" s="12">
        <v>748590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5"/>
    </row>
    <row r="73" spans="2:13">
      <c r="B73">
        <v>2024</v>
      </c>
      <c r="C73" s="12">
        <v>157365</v>
      </c>
      <c r="D73" s="12">
        <v>433276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5"/>
    </row>
    <row r="74" spans="2:13">
      <c r="B74">
        <v>2025</v>
      </c>
      <c r="C74" s="12">
        <v>142813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5"/>
    </row>
    <row r="80" spans="2:13">
      <c r="B80" s="13" t="s">
        <v>43</v>
      </c>
    </row>
    <row r="82" spans="2:13">
      <c r="B82" t="s">
        <v>0</v>
      </c>
      <c r="C82">
        <v>0</v>
      </c>
      <c r="D82">
        <v>1</v>
      </c>
      <c r="E82">
        <v>2</v>
      </c>
      <c r="F82">
        <v>3</v>
      </c>
      <c r="G82">
        <v>4</v>
      </c>
      <c r="H82">
        <v>5</v>
      </c>
      <c r="I82">
        <v>6</v>
      </c>
      <c r="J82">
        <v>7</v>
      </c>
      <c r="K82">
        <v>8</v>
      </c>
      <c r="L82">
        <v>9</v>
      </c>
    </row>
    <row r="83" spans="2:13">
      <c r="B83">
        <v>2016</v>
      </c>
      <c r="C83" s="12">
        <v>214076</v>
      </c>
      <c r="D83" s="12">
        <v>483884</v>
      </c>
      <c r="E83" s="12">
        <v>628326</v>
      </c>
      <c r="F83" s="12">
        <v>722346</v>
      </c>
      <c r="G83" s="12">
        <v>778592</v>
      </c>
      <c r="H83" s="12">
        <v>821655</v>
      </c>
      <c r="I83" s="12">
        <v>834987</v>
      </c>
      <c r="J83" s="12">
        <v>852104</v>
      </c>
      <c r="K83" s="12">
        <v>865533</v>
      </c>
      <c r="L83" s="12">
        <v>882071</v>
      </c>
    </row>
    <row r="84" spans="2:13">
      <c r="B84">
        <v>2017</v>
      </c>
      <c r="C84" s="12">
        <v>217634</v>
      </c>
      <c r="D84" s="12">
        <v>476915</v>
      </c>
      <c r="E84" s="12">
        <v>630488</v>
      </c>
      <c r="F84" s="12">
        <v>720805</v>
      </c>
      <c r="G84" s="12">
        <v>786080</v>
      </c>
      <c r="H84" s="12">
        <v>831171</v>
      </c>
      <c r="I84" s="12">
        <v>828002</v>
      </c>
      <c r="J84" s="12">
        <v>853127</v>
      </c>
      <c r="K84" s="12">
        <v>885476</v>
      </c>
      <c r="L84" s="12">
        <v>0</v>
      </c>
    </row>
    <row r="85" spans="2:13">
      <c r="B85">
        <v>2018</v>
      </c>
      <c r="C85" s="12">
        <v>214009</v>
      </c>
      <c r="D85" s="12">
        <v>509473</v>
      </c>
      <c r="E85" s="12">
        <v>664604</v>
      </c>
      <c r="F85" s="12">
        <v>761923</v>
      </c>
      <c r="G85" s="12">
        <v>834342</v>
      </c>
      <c r="H85" s="12">
        <v>877692</v>
      </c>
      <c r="I85" s="12">
        <v>906073</v>
      </c>
      <c r="J85" s="12">
        <v>931965</v>
      </c>
      <c r="K85" s="12">
        <v>0</v>
      </c>
      <c r="L85" s="12">
        <v>0</v>
      </c>
    </row>
    <row r="86" spans="2:13">
      <c r="B86">
        <v>2019</v>
      </c>
      <c r="C86" s="12">
        <v>256345</v>
      </c>
      <c r="D86" s="12">
        <v>548709</v>
      </c>
      <c r="E86" s="12">
        <v>720575</v>
      </c>
      <c r="F86" s="12">
        <v>842595</v>
      </c>
      <c r="G86" s="12">
        <v>918496</v>
      </c>
      <c r="H86" s="12">
        <v>973337</v>
      </c>
      <c r="I86" s="12">
        <v>1014171</v>
      </c>
      <c r="J86" s="12">
        <v>0</v>
      </c>
      <c r="K86" s="12">
        <v>0</v>
      </c>
      <c r="L86" s="12">
        <v>0</v>
      </c>
    </row>
    <row r="87" spans="2:13">
      <c r="B87">
        <v>2020</v>
      </c>
      <c r="C87" s="12">
        <v>201770</v>
      </c>
      <c r="D87" s="12">
        <v>431008</v>
      </c>
      <c r="E87" s="12">
        <v>560469</v>
      </c>
      <c r="F87" s="12">
        <v>664076</v>
      </c>
      <c r="G87" s="12">
        <v>729665</v>
      </c>
      <c r="H87" s="12">
        <v>776863</v>
      </c>
      <c r="I87" s="12">
        <v>0</v>
      </c>
      <c r="J87" s="12">
        <v>0</v>
      </c>
      <c r="K87" s="12">
        <v>0</v>
      </c>
      <c r="L87" s="12">
        <v>0</v>
      </c>
    </row>
    <row r="88" spans="2:13">
      <c r="B88">
        <v>2021</v>
      </c>
      <c r="C88" s="12">
        <v>185769</v>
      </c>
      <c r="D88" s="12">
        <v>402245</v>
      </c>
      <c r="E88" s="12">
        <v>535540</v>
      </c>
      <c r="F88" s="12">
        <v>636560</v>
      </c>
      <c r="G88" s="12">
        <v>691109</v>
      </c>
      <c r="H88" s="12">
        <v>0</v>
      </c>
      <c r="I88" s="12">
        <v>0</v>
      </c>
      <c r="J88" s="12">
        <v>0</v>
      </c>
      <c r="K88" s="16">
        <v>0</v>
      </c>
      <c r="L88" s="16">
        <v>0</v>
      </c>
      <c r="M88" s="14"/>
    </row>
    <row r="89" spans="2:13">
      <c r="B89">
        <v>2022</v>
      </c>
      <c r="C89" s="12">
        <v>183814</v>
      </c>
      <c r="D89" s="12">
        <v>424722</v>
      </c>
      <c r="E89" s="12">
        <v>578321</v>
      </c>
      <c r="F89" s="12">
        <v>675371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</row>
    <row r="90" spans="2:13">
      <c r="B90">
        <v>2023</v>
      </c>
      <c r="C90" s="12">
        <v>165840</v>
      </c>
      <c r="D90" s="12">
        <v>364652</v>
      </c>
      <c r="E90" s="12">
        <v>479925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</row>
    <row r="91" spans="2:13">
      <c r="B91">
        <v>2024</v>
      </c>
      <c r="C91" s="12">
        <v>139976</v>
      </c>
      <c r="D91" s="12">
        <v>288449</v>
      </c>
      <c r="E91" s="12">
        <v>0</v>
      </c>
      <c r="F91" s="12">
        <v>0</v>
      </c>
      <c r="G91" s="12">
        <v>0</v>
      </c>
      <c r="H91" s="12">
        <v>0</v>
      </c>
      <c r="I91" s="16">
        <v>0</v>
      </c>
      <c r="J91" s="16">
        <v>0</v>
      </c>
      <c r="K91" s="16">
        <v>0</v>
      </c>
      <c r="L91" s="12">
        <v>0</v>
      </c>
    </row>
    <row r="92" spans="2:13">
      <c r="B92">
        <v>2025</v>
      </c>
      <c r="C92" s="12">
        <v>119201</v>
      </c>
      <c r="D92" s="12">
        <v>0</v>
      </c>
      <c r="E92" s="12">
        <v>0</v>
      </c>
      <c r="F92" s="12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</row>
    <row r="93" spans="2:13"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8" spans="2:13">
      <c r="B98" s="13" t="s">
        <v>44</v>
      </c>
    </row>
    <row r="100" spans="2:13">
      <c r="B100" t="s">
        <v>0</v>
      </c>
      <c r="C100">
        <v>0</v>
      </c>
      <c r="D100">
        <v>1</v>
      </c>
      <c r="E100">
        <v>2</v>
      </c>
      <c r="F100">
        <v>3</v>
      </c>
      <c r="G100">
        <v>4</v>
      </c>
      <c r="H100">
        <v>5</v>
      </c>
      <c r="I100">
        <v>6</v>
      </c>
      <c r="J100">
        <v>7</v>
      </c>
      <c r="K100">
        <v>8</v>
      </c>
      <c r="L100">
        <v>9</v>
      </c>
    </row>
    <row r="101" spans="2:13">
      <c r="B101">
        <v>2016</v>
      </c>
      <c r="C101" s="12">
        <v>447051</v>
      </c>
      <c r="D101" s="12">
        <v>759363</v>
      </c>
      <c r="E101" s="12">
        <v>937853</v>
      </c>
      <c r="F101" s="12">
        <v>1073113</v>
      </c>
      <c r="G101" s="12">
        <v>1174798</v>
      </c>
      <c r="H101" s="12">
        <v>1220559</v>
      </c>
      <c r="I101" s="12">
        <v>1263301</v>
      </c>
      <c r="J101" s="12">
        <v>1296610</v>
      </c>
      <c r="K101" s="12">
        <v>1310134</v>
      </c>
      <c r="L101" s="12">
        <v>1324692</v>
      </c>
    </row>
    <row r="102" spans="2:13">
      <c r="B102">
        <v>2017</v>
      </c>
      <c r="C102" s="12">
        <v>580891</v>
      </c>
      <c r="D102" s="12">
        <v>1185943</v>
      </c>
      <c r="E102" s="12">
        <v>1449938</v>
      </c>
      <c r="F102" s="12">
        <v>1594740</v>
      </c>
      <c r="G102" s="12">
        <v>1707003</v>
      </c>
      <c r="H102" s="12">
        <v>1804794</v>
      </c>
      <c r="I102" s="12">
        <v>1858445</v>
      </c>
      <c r="J102" s="12">
        <v>1893285</v>
      </c>
      <c r="K102" s="12">
        <v>1910066</v>
      </c>
      <c r="L102" s="12">
        <v>0</v>
      </c>
    </row>
    <row r="103" spans="2:13">
      <c r="B103">
        <v>2018</v>
      </c>
      <c r="C103" s="12">
        <v>515211</v>
      </c>
      <c r="D103" s="12">
        <v>968686</v>
      </c>
      <c r="E103" s="12">
        <v>1196016</v>
      </c>
      <c r="F103" s="12">
        <v>1334954</v>
      </c>
      <c r="G103" s="12">
        <v>1487215</v>
      </c>
      <c r="H103" s="12">
        <v>1570677</v>
      </c>
      <c r="I103" s="12">
        <v>1637966</v>
      </c>
      <c r="J103" s="12">
        <v>1666684</v>
      </c>
      <c r="K103" s="12">
        <v>0</v>
      </c>
      <c r="L103" s="12">
        <v>0</v>
      </c>
    </row>
    <row r="104" spans="2:13">
      <c r="B104">
        <v>2019</v>
      </c>
      <c r="C104" s="12">
        <v>490801</v>
      </c>
      <c r="D104" s="12">
        <v>845005</v>
      </c>
      <c r="E104" s="12">
        <v>1018932</v>
      </c>
      <c r="F104" s="12">
        <v>1201787</v>
      </c>
      <c r="G104" s="12">
        <v>1333770</v>
      </c>
      <c r="H104" s="12">
        <v>1415317</v>
      </c>
      <c r="I104" s="12">
        <v>1470307</v>
      </c>
      <c r="J104" s="12">
        <v>0</v>
      </c>
      <c r="K104" s="12">
        <v>0</v>
      </c>
      <c r="L104" s="12">
        <v>0</v>
      </c>
    </row>
    <row r="105" spans="2:13">
      <c r="B105">
        <v>2020</v>
      </c>
      <c r="C105" s="12">
        <v>562131</v>
      </c>
      <c r="D105" s="12">
        <v>908993</v>
      </c>
      <c r="E105" s="12">
        <v>1050642</v>
      </c>
      <c r="F105" s="12">
        <v>1156915</v>
      </c>
      <c r="G105" s="12">
        <v>1273088</v>
      </c>
      <c r="H105" s="12">
        <v>1355547</v>
      </c>
      <c r="I105" s="12">
        <v>0</v>
      </c>
      <c r="J105" s="12">
        <v>0</v>
      </c>
      <c r="K105" s="12">
        <v>0</v>
      </c>
      <c r="L105" s="12">
        <v>0</v>
      </c>
    </row>
    <row r="106" spans="2:13">
      <c r="B106">
        <v>2021</v>
      </c>
      <c r="C106" s="12">
        <v>511694</v>
      </c>
      <c r="D106" s="12">
        <v>894349</v>
      </c>
      <c r="E106" s="12">
        <v>1055133</v>
      </c>
      <c r="F106" s="12">
        <v>1181627</v>
      </c>
      <c r="G106" s="12">
        <v>1281860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2"/>
    </row>
    <row r="107" spans="2:13">
      <c r="B107">
        <v>2022</v>
      </c>
      <c r="C107" s="12">
        <v>455769</v>
      </c>
      <c r="D107" s="12">
        <v>972944</v>
      </c>
      <c r="E107" s="12">
        <v>1150835</v>
      </c>
      <c r="F107" s="12">
        <v>1298324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</row>
    <row r="108" spans="2:13">
      <c r="B108">
        <v>2023</v>
      </c>
      <c r="C108" s="12">
        <v>456261</v>
      </c>
      <c r="D108" s="12">
        <v>784262</v>
      </c>
      <c r="E108" s="12">
        <v>953030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</row>
    <row r="109" spans="2:13">
      <c r="B109">
        <v>2024</v>
      </c>
      <c r="C109" s="12">
        <v>405506</v>
      </c>
      <c r="D109" s="12">
        <v>622461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6">
        <v>0</v>
      </c>
      <c r="L109" s="16">
        <v>0</v>
      </c>
      <c r="M109" s="14"/>
    </row>
    <row r="110" spans="2:13">
      <c r="B110">
        <v>2025</v>
      </c>
      <c r="C110" s="12">
        <v>248722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6">
        <v>0</v>
      </c>
      <c r="K110" s="16">
        <v>0</v>
      </c>
      <c r="L110" s="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1608-74A4-E541-A827-8F3B1C3663C6}">
  <dimension ref="C7:F110"/>
  <sheetViews>
    <sheetView tabSelected="1" zoomScale="167" zoomScaleNormal="167" workbookViewId="0">
      <selection activeCell="D14" sqref="D14"/>
    </sheetView>
  </sheetViews>
  <sheetFormatPr baseColWidth="10" defaultRowHeight="16"/>
  <cols>
    <col min="3" max="3" width="35" bestFit="1" customWidth="1"/>
    <col min="4" max="4" width="16.1640625" customWidth="1"/>
    <col min="5" max="5" width="34.1640625" bestFit="1" customWidth="1"/>
  </cols>
  <sheetData>
    <row r="7" spans="3:6">
      <c r="C7" s="5"/>
      <c r="D7" s="5"/>
      <c r="E7" s="5"/>
    </row>
    <row r="8" spans="3:6">
      <c r="C8" s="5" t="s">
        <v>1</v>
      </c>
      <c r="E8" s="5" t="s">
        <v>12</v>
      </c>
    </row>
    <row r="9" spans="3:6">
      <c r="C9" s="5" t="s">
        <v>2</v>
      </c>
      <c r="D9">
        <f>SUM('Loss Development Triangles'!D9:D17)/SUM('Loss Development Triangles'!C9:C17)</f>
        <v>1.4752116560144102</v>
      </c>
      <c r="E9" s="15" t="s">
        <v>13</v>
      </c>
      <c r="F9">
        <f>PRODUCT(D9:D17)</f>
        <v>2.1784187273517377</v>
      </c>
    </row>
    <row r="10" spans="3:6">
      <c r="C10" s="5" t="s">
        <v>3</v>
      </c>
      <c r="D10">
        <f>SUM('Loss Development Triangles'!E9:E16)/SUM('Loss Development Triangles'!D9:D16)</f>
        <v>1.1493877146624296</v>
      </c>
      <c r="E10" t="s">
        <v>14</v>
      </c>
      <c r="F10">
        <f>PRODUCT(D10:D17)</f>
        <v>1.4766821550455929</v>
      </c>
    </row>
    <row r="11" spans="3:6">
      <c r="C11" s="5" t="s">
        <v>4</v>
      </c>
      <c r="D11">
        <f>SUM('Loss Development Triangles'!F9:F15)/SUM('Loss Development Triangles'!E9:E15)</f>
        <v>1.0908696283218373</v>
      </c>
      <c r="E11" t="s">
        <v>15</v>
      </c>
      <c r="F11">
        <f>PRODUCT(D11:D17)</f>
        <v>1.284755471289589</v>
      </c>
    </row>
    <row r="12" spans="3:6">
      <c r="C12" s="5" t="s">
        <v>5</v>
      </c>
      <c r="D12">
        <f>SUM('Loss Development Triangles'!G9:G14)/SUM('Loss Development Triangles'!F9:F14)</f>
        <v>1.061190296338161</v>
      </c>
      <c r="E12" t="s">
        <v>16</v>
      </c>
      <c r="F12">
        <f>PRODUCT(D12:D17)</f>
        <v>1.1777351187841023</v>
      </c>
    </row>
    <row r="13" spans="3:6">
      <c r="C13" s="5" t="s">
        <v>6</v>
      </c>
      <c r="D13">
        <f>SUM('Loss Development Triangles'!H9:H13)/SUM('Loss Development Triangles'!G9:G13)</f>
        <v>1.0429162808383532</v>
      </c>
      <c r="E13" t="s">
        <v>17</v>
      </c>
      <c r="F13">
        <f>PRODUCT(D13:D17)</f>
        <v>1.1098246213220206</v>
      </c>
    </row>
    <row r="14" spans="3:6">
      <c r="C14" s="5" t="s">
        <v>7</v>
      </c>
      <c r="D14">
        <f>SUM('Loss Development Triangles'!I9:I12)/SUM('Loss Development Triangles'!H9:H12)</f>
        <v>1.0286188304234634</v>
      </c>
      <c r="E14" t="s">
        <v>18</v>
      </c>
      <c r="F14">
        <f>PRODUCT(D14:D17)</f>
        <v>1.0641550445735519</v>
      </c>
    </row>
    <row r="15" spans="3:6">
      <c r="C15" s="5" t="s">
        <v>8</v>
      </c>
      <c r="D15">
        <f>SUM('Loss Development Triangles'!J9:J11)/SUM('Loss Development Triangles'!I9:I11)</f>
        <v>1.0155041685503232</v>
      </c>
      <c r="E15" t="s">
        <v>19</v>
      </c>
      <c r="F15">
        <f>PRODUCT(D15:D17)</f>
        <v>1.034547504963971</v>
      </c>
    </row>
    <row r="16" spans="3:6">
      <c r="C16" s="5" t="s">
        <v>9</v>
      </c>
      <c r="D16">
        <f>SUM('Loss Development Triangles'!K9:K10)/SUM('Loss Development Triangles'!J9:J10)</f>
        <v>1.0124094798905436</v>
      </c>
      <c r="E16" t="s">
        <v>20</v>
      </c>
      <c r="F16">
        <f>PRODUCT(D16:D17)</f>
        <v>1.018752593050241</v>
      </c>
    </row>
    <row r="17" spans="3:6">
      <c r="C17" s="5" t="s">
        <v>10</v>
      </c>
      <c r="D17">
        <f>SUM('Loss Development Triangles'!L9)/SUM('Loss Development Triangles'!K9)</f>
        <v>1.0062653632603116</v>
      </c>
      <c r="E17" t="s">
        <v>21</v>
      </c>
      <c r="F17">
        <f>PRODUCT(D17)</f>
        <v>1.0062653632603116</v>
      </c>
    </row>
    <row r="18" spans="3:6">
      <c r="C18" s="5" t="s">
        <v>11</v>
      </c>
      <c r="D18">
        <v>1</v>
      </c>
      <c r="E18" t="s">
        <v>22</v>
      </c>
      <c r="F18">
        <v>1</v>
      </c>
    </row>
    <row r="28" spans="3:6">
      <c r="C28" s="5" t="s">
        <v>1</v>
      </c>
      <c r="E28" s="5" t="s">
        <v>12</v>
      </c>
    </row>
    <row r="29" spans="3:6">
      <c r="C29" s="5" t="s">
        <v>2</v>
      </c>
      <c r="D29">
        <f>SUM('Loss Development Triangles'!D29:D37)/SUM('Loss Development Triangles'!C29:C37)</f>
        <v>1.3527556946236055</v>
      </c>
      <c r="E29" t="s">
        <v>13</v>
      </c>
      <c r="F29">
        <f>PRODUCT(D29:D37)</f>
        <v>1.4567930297734775</v>
      </c>
    </row>
    <row r="30" spans="3:6">
      <c r="C30" s="5" t="s">
        <v>3</v>
      </c>
      <c r="D30">
        <f>SUM('Loss Development Triangles'!E29:E36)/SUM('Loss Development Triangles'!D29:D36)</f>
        <v>1.0443780002671497</v>
      </c>
      <c r="E30" t="s">
        <v>14</v>
      </c>
      <c r="F30">
        <f>PRODUCT(D30:D37)</f>
        <v>1.0769077044460864</v>
      </c>
    </row>
    <row r="31" spans="3:6">
      <c r="C31" s="5" t="s">
        <v>4</v>
      </c>
      <c r="D31">
        <f>SUM('Loss Development Triangles'!F29:F35)/SUM('Loss Development Triangles'!E29:E35)</f>
        <v>1.0111487781647086</v>
      </c>
      <c r="E31" t="s">
        <v>15</v>
      </c>
      <c r="F31">
        <f>PRODUCT(D31:D37)</f>
        <v>1.0311474429474916</v>
      </c>
    </row>
    <row r="32" spans="3:6">
      <c r="C32" s="5" t="s">
        <v>5</v>
      </c>
      <c r="D32">
        <f>SUM('Loss Development Triangles'!G29:G34)/SUM('Loss Development Triangles'!F29:F34)</f>
        <v>1.0088834339993134</v>
      </c>
      <c r="E32" t="s">
        <v>16</v>
      </c>
      <c r="F32">
        <f>PRODUCT(D32:D37)</f>
        <v>1.0197781624372646</v>
      </c>
    </row>
    <row r="33" spans="3:6">
      <c r="C33" s="5" t="s">
        <v>6</v>
      </c>
      <c r="D33">
        <f>SUM('Loss Development Triangles'!H29:H33)/SUM('Loss Development Triangles'!G29:G33)</f>
        <v>1.0044384290603974</v>
      </c>
      <c r="E33" t="s">
        <v>17</v>
      </c>
      <c r="F33">
        <f>PRODUCT(D33:D37)</f>
        <v>1.0107987980283939</v>
      </c>
    </row>
    <row r="34" spans="3:6">
      <c r="C34" s="5" t="s">
        <v>7</v>
      </c>
      <c r="D34">
        <f>SUM('Loss Development Triangles'!I29:I32)/SUM('Loss Development Triangles'!H29:H32)</f>
        <v>1.0022540311444053</v>
      </c>
      <c r="E34" t="s">
        <v>18</v>
      </c>
      <c r="F34">
        <f>PRODUCT(D34:D37)</f>
        <v>1.0063322636649281</v>
      </c>
    </row>
    <row r="35" spans="3:6">
      <c r="C35" s="5" t="s">
        <v>8</v>
      </c>
      <c r="D35">
        <f>SUM('Loss Development Triangles'!J29:J31)/SUM('Loss Development Triangles'!I29:I31)</f>
        <v>1.0017481103456223</v>
      </c>
      <c r="E35" t="s">
        <v>19</v>
      </c>
      <c r="F35">
        <f>PRODUCT(D35:D37)</f>
        <v>1.0040690607309068</v>
      </c>
    </row>
    <row r="36" spans="3:6">
      <c r="C36" s="5" t="s">
        <v>9</v>
      </c>
      <c r="D36">
        <f>SUM('Loss Development Triangles'!K29:K30)/SUM('Loss Development Triangles'!J29:J30)</f>
        <v>1.0015488710918363</v>
      </c>
      <c r="E36" t="s">
        <v>20</v>
      </c>
      <c r="F36">
        <f>PRODUCT(D36:D37)</f>
        <v>1.002316900188096</v>
      </c>
    </row>
    <row r="37" spans="3:6">
      <c r="C37" s="5" t="s">
        <v>10</v>
      </c>
      <c r="D37">
        <f>SUM('Loss Development Triangles'!L29)/SUM('Loss Development Triangles'!K29)</f>
        <v>1.0007668413578485</v>
      </c>
      <c r="E37" t="s">
        <v>21</v>
      </c>
      <c r="F37">
        <f>PRODUCT(D37)</f>
        <v>1.0007668413578485</v>
      </c>
    </row>
    <row r="38" spans="3:6">
      <c r="C38" s="5" t="s">
        <v>11</v>
      </c>
      <c r="D38">
        <v>1</v>
      </c>
      <c r="E38" t="s">
        <v>22</v>
      </c>
      <c r="F38">
        <v>1</v>
      </c>
    </row>
    <row r="46" spans="3:6">
      <c r="C46" s="5" t="s">
        <v>1</v>
      </c>
      <c r="E46" s="5" t="s">
        <v>12</v>
      </c>
    </row>
    <row r="47" spans="3:6">
      <c r="C47" s="5" t="s">
        <v>2</v>
      </c>
      <c r="D47">
        <f>SUM('Loss Development Triangles'!D47:D55)/SUM('Loss Development Triangles'!C47:C55)</f>
        <v>1.8737108595711489</v>
      </c>
      <c r="E47" t="s">
        <v>13</v>
      </c>
      <c r="F47">
        <f>PRODUCT(D47:D55)</f>
        <v>2.9479235278439506</v>
      </c>
    </row>
    <row r="48" spans="3:6">
      <c r="C48" s="5" t="s">
        <v>3</v>
      </c>
      <c r="D48">
        <f>SUM('Loss Development Triangles'!E47:E54)/SUM('Loss Development Triangles'!D47:D54)</f>
        <v>1.2465473829364975</v>
      </c>
      <c r="E48" t="s">
        <v>14</v>
      </c>
      <c r="F48">
        <f>PRODUCT(D48:D55)</f>
        <v>1.5733075958788354</v>
      </c>
    </row>
    <row r="49" spans="3:6">
      <c r="C49" s="5" t="s">
        <v>4</v>
      </c>
      <c r="D49">
        <f>SUM('Loss Development Triangles'!F47:F53)/SUM('Loss Development Triangles'!E47:E53)</f>
        <v>1.1222575740247938</v>
      </c>
      <c r="E49" t="s">
        <v>15</v>
      </c>
      <c r="F49">
        <f>PRODUCT(D49:D55)</f>
        <v>1.2621322040503486</v>
      </c>
    </row>
    <row r="50" spans="3:6">
      <c r="C50" s="5" t="s">
        <v>5</v>
      </c>
      <c r="D50">
        <f>SUM('Loss Development Triangles'!G47:G52)/SUM('Loss Development Triangles'!F47:F52)</f>
        <v>1.062163590149902</v>
      </c>
      <c r="E50" t="s">
        <v>16</v>
      </c>
      <c r="F50">
        <f>PRODUCT(D50:D55)</f>
        <v>1.1246368331682695</v>
      </c>
    </row>
    <row r="51" spans="3:6">
      <c r="C51" s="5" t="s">
        <v>6</v>
      </c>
      <c r="D51">
        <f>SUM('Loss Development Triangles'!H47:H51)/SUM('Loss Development Triangles'!G47:G51)</f>
        <v>1.0311201759497717</v>
      </c>
      <c r="E51" t="s">
        <v>17</v>
      </c>
      <c r="F51">
        <f>PRODUCT(D51:D55)</f>
        <v>1.0588169690598699</v>
      </c>
    </row>
    <row r="52" spans="3:6">
      <c r="C52" s="5" t="s">
        <v>7</v>
      </c>
      <c r="D52">
        <f>SUM('Loss Development Triangles'!I47:I50)/SUM('Loss Development Triangles'!H47:H50)</f>
        <v>1.015979823648627</v>
      </c>
      <c r="E52" t="s">
        <v>18</v>
      </c>
      <c r="F52">
        <f>PRODUCT(D52:D55)</f>
        <v>1.0268608778647812</v>
      </c>
    </row>
    <row r="53" spans="3:6">
      <c r="C53" s="5" t="s">
        <v>8</v>
      </c>
      <c r="D53">
        <f>SUM('Loss Development Triangles'!J47:J49)/SUM('Loss Development Triangles'!I47:I49)</f>
        <v>1.0060647816149737</v>
      </c>
      <c r="E53" t="s">
        <v>19</v>
      </c>
      <c r="F53">
        <f>PRODUCT(D53:D55)</f>
        <v>1.0107099117156457</v>
      </c>
    </row>
    <row r="54" spans="3:6">
      <c r="C54" s="5" t="s">
        <v>9</v>
      </c>
      <c r="D54">
        <f>SUM('Loss Development Triangles'!K47:K48)/SUM('Loss Development Triangles'!J47:J48)</f>
        <v>1.0033432460907328</v>
      </c>
      <c r="E54" t="s">
        <v>20</v>
      </c>
      <c r="F54">
        <f>PRODUCT(D54:D55)</f>
        <v>1.0046171282262912</v>
      </c>
    </row>
    <row r="55" spans="3:6">
      <c r="C55" s="5" t="s">
        <v>10</v>
      </c>
      <c r="D55">
        <f>SUM('Loss Development Triangles'!L47)/SUM('Loss Development Triangles'!K47)</f>
        <v>1.0012696374251999</v>
      </c>
      <c r="E55" t="s">
        <v>21</v>
      </c>
      <c r="F55">
        <f>PRODUCT(D55)</f>
        <v>1.0012696374251999</v>
      </c>
    </row>
    <row r="56" spans="3:6">
      <c r="C56" s="5" t="s">
        <v>11</v>
      </c>
      <c r="D56">
        <v>1</v>
      </c>
      <c r="E56" t="s">
        <v>22</v>
      </c>
      <c r="F56">
        <v>1</v>
      </c>
    </row>
    <row r="64" spans="3:6">
      <c r="C64" s="5" t="s">
        <v>1</v>
      </c>
      <c r="E64" s="5" t="s">
        <v>12</v>
      </c>
    </row>
    <row r="65" spans="3:6">
      <c r="C65" s="5" t="s">
        <v>2</v>
      </c>
      <c r="D65">
        <f>SUM('Loss Development Triangles'!D65:D73)/SUM('Loss Development Triangles'!C65:C73)</f>
        <v>2.4760255304513641</v>
      </c>
      <c r="E65" t="s">
        <v>13</v>
      </c>
      <c r="F65">
        <f>PRODUCT(D65:D73)</f>
        <v>7.0887803873929078</v>
      </c>
    </row>
    <row r="66" spans="3:6">
      <c r="C66" s="5" t="s">
        <v>3</v>
      </c>
      <c r="D66">
        <f>SUM('Loss Development Triangles'!E65:E72)/SUM('Loss Development Triangles'!D65:D72)</f>
        <v>1.6032747124250173</v>
      </c>
      <c r="E66" t="s">
        <v>14</v>
      </c>
      <c r="F66">
        <f>PRODUCT(D66:D73)</f>
        <v>2.8629674049042082</v>
      </c>
    </row>
    <row r="67" spans="3:6">
      <c r="C67" s="5" t="s">
        <v>4</v>
      </c>
      <c r="D67">
        <f>SUM('Loss Development Triangles'!F65:F71)/SUM('Loss Development Triangles'!E65:E71)</f>
        <v>1.3186093375194017</v>
      </c>
      <c r="E67" t="s">
        <v>15</v>
      </c>
      <c r="F67">
        <f>PRODUCT(D67:D73)</f>
        <v>1.7856998446472439</v>
      </c>
    </row>
    <row r="68" spans="3:6">
      <c r="C68" s="5" t="s">
        <v>5</v>
      </c>
      <c r="D68">
        <f>SUM('Loss Development Triangles'!G65:G70)/SUM('Loss Development Triangles'!F65:F70)</f>
        <v>1.17751305904443</v>
      </c>
      <c r="E68" t="s">
        <v>16</v>
      </c>
      <c r="F68">
        <f>PRODUCT(D68:D73)</f>
        <v>1.3542296371164364</v>
      </c>
    </row>
    <row r="69" spans="3:6">
      <c r="C69" s="5" t="s">
        <v>6</v>
      </c>
      <c r="D69">
        <f>SUM('Loss Development Triangles'!H65:H69)/SUM('Loss Development Triangles'!G65:G69)</f>
        <v>1.0793940357244893</v>
      </c>
      <c r="E69" t="s">
        <v>17</v>
      </c>
      <c r="F69">
        <f>PRODUCT(D69:D73)</f>
        <v>1.1500761088929363</v>
      </c>
    </row>
    <row r="70" spans="3:6">
      <c r="C70" s="5" t="s">
        <v>7</v>
      </c>
      <c r="D70">
        <f>SUM('Loss Development Triangles'!I65:I68)/SUM('Loss Development Triangles'!H65:H68)</f>
        <v>1.0388620823405552</v>
      </c>
      <c r="E70" t="s">
        <v>18</v>
      </c>
      <c r="F70">
        <f>PRODUCT(D70:D73)</f>
        <v>1.0654831051766975</v>
      </c>
    </row>
    <row r="71" spans="3:6">
      <c r="C71" s="5" t="s">
        <v>8</v>
      </c>
      <c r="D71">
        <f>SUM('Loss Development Triangles'!J65:J67)/SUM('Loss Development Triangles'!I65:I67)</f>
        <v>1.0170246387287543</v>
      </c>
      <c r="E71" t="s">
        <v>19</v>
      </c>
      <c r="F71">
        <f>PRODUCT(D71:D73)</f>
        <v>1.0256251751687435</v>
      </c>
    </row>
    <row r="72" spans="3:6">
      <c r="C72" s="5" t="s">
        <v>9</v>
      </c>
      <c r="D72">
        <f>SUM('Loss Development Triangles'!K65:K66)/SUM('Loss Development Triangles'!J65:J66)</f>
        <v>1.0064549214407725</v>
      </c>
      <c r="E72" t="s">
        <v>20</v>
      </c>
      <c r="F72">
        <f>PRODUCT(D72:D73)</f>
        <v>1.0084565664512708</v>
      </c>
    </row>
    <row r="73" spans="3:6">
      <c r="C73" s="5" t="s">
        <v>10</v>
      </c>
      <c r="D73">
        <f>SUM('Loss Development Triangles'!L65)/SUM('Loss Development Triangles'!K65)</f>
        <v>1.0019888074148744</v>
      </c>
      <c r="E73" t="s">
        <v>21</v>
      </c>
      <c r="F73">
        <f>PRODUCT(D73)</f>
        <v>1.0019888074148744</v>
      </c>
    </row>
    <row r="74" spans="3:6">
      <c r="C74" s="5" t="s">
        <v>11</v>
      </c>
      <c r="D74">
        <v>1</v>
      </c>
      <c r="E74" t="s">
        <v>22</v>
      </c>
      <c r="F74">
        <v>1</v>
      </c>
    </row>
    <row r="82" spans="3:6">
      <c r="C82" s="5" t="s">
        <v>1</v>
      </c>
      <c r="E82" s="5" t="s">
        <v>12</v>
      </c>
    </row>
    <row r="83" spans="3:6">
      <c r="C83" s="5" t="s">
        <v>2</v>
      </c>
      <c r="D83">
        <f>SUM('Loss Development Triangles'!D83:D91)/SUM('Loss Development Triangles'!C83:C91)</f>
        <v>2.2088489815555357</v>
      </c>
      <c r="E83" t="s">
        <v>13</v>
      </c>
      <c r="F83">
        <f>PRODUCT(D83:D91)</f>
        <v>4.2869612914459925</v>
      </c>
    </row>
    <row r="84" spans="3:6">
      <c r="C84" s="5" t="s">
        <v>3</v>
      </c>
      <c r="D84">
        <f>SUM('Loss Development Triangles'!E83:E90)/SUM('Loss Development Triangles'!D83:D90)</f>
        <v>1.3176179314193071</v>
      </c>
      <c r="E84" t="s">
        <v>14</v>
      </c>
      <c r="F84">
        <f>PRODUCT(D84:D91)</f>
        <v>1.9408123086925526</v>
      </c>
    </row>
    <row r="85" spans="3:6">
      <c r="C85" s="5" t="s">
        <v>4</v>
      </c>
      <c r="D85">
        <f>SUM('Loss Development Triangles'!F83:F89)/SUM('Loss Development Triangles'!E83:E89)</f>
        <v>1.163339564919067</v>
      </c>
      <c r="E85" t="s">
        <v>15</v>
      </c>
      <c r="F85">
        <f>PRODUCT(D85:D91)</f>
        <v>1.4729704737715243</v>
      </c>
    </row>
    <row r="86" spans="3:6">
      <c r="C86" s="5" t="s">
        <v>5</v>
      </c>
      <c r="D86">
        <f>SUM('Loss Development Triangles'!G83:G88)/SUM('Loss Development Triangles'!F83:F88)</f>
        <v>1.0896852911651782</v>
      </c>
      <c r="E86" t="s">
        <v>16</v>
      </c>
      <c r="F86">
        <f>PRODUCT(D86:D91)</f>
        <v>1.2661569486584066</v>
      </c>
    </row>
    <row r="87" spans="3:6">
      <c r="C87" s="5" t="s">
        <v>6</v>
      </c>
      <c r="D87">
        <f>SUM('Loss Development Triangles'!H83:H87)/SUM('Loss Development Triangles'!G83:G87)</f>
        <v>1.0577051894222513</v>
      </c>
      <c r="E87" t="s">
        <v>17</v>
      </c>
      <c r="F87">
        <f>PRODUCT(D87:D91)</f>
        <v>1.1619473612464115</v>
      </c>
    </row>
    <row r="88" spans="3:6">
      <c r="C88" s="5" t="s">
        <v>7</v>
      </c>
      <c r="D88">
        <f>SUM('Loss Development Triangles'!I83:I86)/SUM('Loss Development Triangles'!H83:H86)</f>
        <v>1.0226544762839787</v>
      </c>
      <c r="E88" t="s">
        <v>18</v>
      </c>
      <c r="F88">
        <f>PRODUCT(D88:D91)</f>
        <v>1.0985550348685538</v>
      </c>
    </row>
    <row r="89" spans="3:6">
      <c r="C89" s="5" t="s">
        <v>8</v>
      </c>
      <c r="D89">
        <f>SUM('Loss Development Triangles'!J83:J85)/SUM('Loss Development Triangles'!I83:I85)</f>
        <v>1.0265209636824646</v>
      </c>
      <c r="E89" t="s">
        <v>19</v>
      </c>
      <c r="F89">
        <f>PRODUCT(D89:D91)</f>
        <v>1.0742191623317148</v>
      </c>
    </row>
    <row r="90" spans="3:6">
      <c r="C90" s="5" t="s">
        <v>9</v>
      </c>
      <c r="D90">
        <f>SUM('Loss Development Triangles'!K83:K84)/SUM('Loss Development Triangles'!J83:J84)</f>
        <v>1.0268456297123381</v>
      </c>
      <c r="E90" t="s">
        <v>20</v>
      </c>
      <c r="F90">
        <f>PRODUCT(D90:D91)</f>
        <v>1.0464658787660226</v>
      </c>
    </row>
    <row r="91" spans="3:6">
      <c r="C91" s="5" t="s">
        <v>10</v>
      </c>
      <c r="D91">
        <f>SUM('Loss Development Triangles'!L83)/SUM('Loss Development Triangles'!K83)</f>
        <v>1.0191073015124785</v>
      </c>
      <c r="E91" t="s">
        <v>21</v>
      </c>
      <c r="F91">
        <f>PRODUCT(D91)</f>
        <v>1.0191073015124785</v>
      </c>
    </row>
    <row r="92" spans="3:6">
      <c r="C92" s="5" t="s">
        <v>11</v>
      </c>
      <c r="D92">
        <v>1</v>
      </c>
      <c r="E92" t="s">
        <v>22</v>
      </c>
      <c r="F92">
        <v>1</v>
      </c>
    </row>
    <row r="100" spans="3:6">
      <c r="C100" s="5" t="s">
        <v>1</v>
      </c>
      <c r="E100" s="5" t="s">
        <v>12</v>
      </c>
    </row>
    <row r="101" spans="3:6">
      <c r="C101" s="5" t="s">
        <v>2</v>
      </c>
      <c r="D101">
        <f>SUM('Loss Development Triangles'!D101:D109)/SUM('Loss Development Triangles'!C101:C109)</f>
        <v>1.7946758592326195</v>
      </c>
      <c r="E101" t="s">
        <v>13</v>
      </c>
      <c r="F101">
        <f>PRODUCT(D101:D109)</f>
        <v>3.0331945630815538</v>
      </c>
    </row>
    <row r="102" spans="3:6">
      <c r="C102" s="5" t="s">
        <v>3</v>
      </c>
      <c r="D102">
        <f>SUM('Loss Development Triangles'!E101:E108)/SUM('Loss Development Triangles'!D101:D108)</f>
        <v>1.2039517483668725</v>
      </c>
      <c r="E102" t="s">
        <v>14</v>
      </c>
      <c r="F102">
        <f>PRODUCT(D102:D109)</f>
        <v>1.6901071842458</v>
      </c>
    </row>
    <row r="103" spans="3:6">
      <c r="C103" s="5" t="s">
        <v>4</v>
      </c>
      <c r="D103">
        <f>SUM('Loss Development Triangles'!F101:F107)/SUM('Loss Development Triangles'!E101:E107)</f>
        <v>1.1249608587174331</v>
      </c>
      <c r="E103" t="s">
        <v>15</v>
      </c>
      <c r="F103">
        <f>PRODUCT(D103:D109)</f>
        <v>1.4037997673398319</v>
      </c>
    </row>
    <row r="104" spans="3:6">
      <c r="C104" s="5" t="s">
        <v>5</v>
      </c>
      <c r="D104">
        <f>SUM('Loss Development Triangles'!G101:G106)/SUM('Loss Development Triangles'!F101:F106)</f>
        <v>1.0947348688927259</v>
      </c>
      <c r="E104" t="s">
        <v>16</v>
      </c>
      <c r="F104">
        <f>PRODUCT(D104:D109)</f>
        <v>1.2478654314607029</v>
      </c>
    </row>
    <row r="105" spans="3:6">
      <c r="C105" s="5" t="s">
        <v>6</v>
      </c>
      <c r="D105">
        <f>SUM('Loss Development Triangles'!H101:H105)/SUM('Loss Development Triangles'!G101:G105)</f>
        <v>1.0560531913277103</v>
      </c>
      <c r="E105" t="s">
        <v>17</v>
      </c>
      <c r="F105">
        <f>PRODUCT(D105:D109)</f>
        <v>1.1398791313944914</v>
      </c>
    </row>
    <row r="106" spans="3:6">
      <c r="C106" s="5" t="s">
        <v>7</v>
      </c>
      <c r="D106">
        <f>SUM('Loss Development Triangles'!I101:I104)/SUM('Loss Development Triangles'!H101:H104)</f>
        <v>1.0363765392348836</v>
      </c>
      <c r="E106" t="s">
        <v>18</v>
      </c>
      <c r="F106">
        <f>PRODUCT(D106:D109)</f>
        <v>1.079376626816867</v>
      </c>
    </row>
    <row r="107" spans="3:6">
      <c r="C107" s="5" t="s">
        <v>8</v>
      </c>
      <c r="D107">
        <f>SUM('Loss Development Triangles'!J101:J103)/SUM('Loss Development Triangles'!I101:I103)</f>
        <v>1.0203514414317505</v>
      </c>
      <c r="E107" t="s">
        <v>19</v>
      </c>
      <c r="F107">
        <f>PRODUCT(D107:D109)</f>
        <v>1.0414907960129325</v>
      </c>
    </row>
    <row r="108" spans="3:6">
      <c r="C108" s="5" t="s">
        <v>9</v>
      </c>
      <c r="D108">
        <f>SUM('Loss Development Triangles'!K101:K102)/SUM('Loss Development Triangles'!J101:J102)</f>
        <v>1.0095003127062177</v>
      </c>
      <c r="E108" t="s">
        <v>20</v>
      </c>
      <c r="F108">
        <f>PRODUCT(D108:D109)</f>
        <v>1.0207177191336343</v>
      </c>
    </row>
    <row r="109" spans="3:6">
      <c r="C109" s="5" t="s">
        <v>10</v>
      </c>
      <c r="D109">
        <f>SUM('Loss Development Triangles'!L101)/SUM('Loss Development Triangles'!K101)</f>
        <v>1.0111118404682269</v>
      </c>
      <c r="E109" t="s">
        <v>21</v>
      </c>
      <c r="F109">
        <f>PRODUCT(D109)</f>
        <v>1.0111118404682269</v>
      </c>
    </row>
    <row r="110" spans="3:6">
      <c r="C110" s="5" t="s">
        <v>11</v>
      </c>
      <c r="D110">
        <v>1</v>
      </c>
      <c r="E110" t="s">
        <v>22</v>
      </c>
      <c r="F1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34A2-D1B3-594C-B635-BA22E379390F}">
  <dimension ref="C6:J111"/>
  <sheetViews>
    <sheetView workbookViewId="0">
      <selection activeCell="J9" sqref="J9:J19"/>
    </sheetView>
  </sheetViews>
  <sheetFormatPr baseColWidth="10" defaultRowHeight="16"/>
  <cols>
    <col min="3" max="3" width="12.33203125" bestFit="1" customWidth="1"/>
    <col min="4" max="4" width="24.1640625" bestFit="1" customWidth="1"/>
    <col min="5" max="5" width="26" bestFit="1" customWidth="1"/>
    <col min="6" max="6" width="29" bestFit="1" customWidth="1"/>
    <col min="7" max="7" width="32" bestFit="1" customWidth="1"/>
    <col min="8" max="8" width="31.33203125" bestFit="1" customWidth="1"/>
    <col min="9" max="9" width="15.1640625" bestFit="1" customWidth="1"/>
    <col min="10" max="10" width="17.33203125" bestFit="1" customWidth="1"/>
  </cols>
  <sheetData>
    <row r="6" spans="3:10">
      <c r="C6" s="5"/>
      <c r="D6" s="5"/>
      <c r="E6" s="5"/>
      <c r="F6" s="5"/>
      <c r="G6" s="5"/>
      <c r="H6" s="5"/>
      <c r="I6" s="5"/>
      <c r="J6" s="5"/>
    </row>
    <row r="7" spans="3:10">
      <c r="C7" s="5"/>
      <c r="I7" s="1"/>
      <c r="J7" s="3"/>
    </row>
    <row r="8" spans="3:10"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5" t="s">
        <v>30</v>
      </c>
      <c r="J8" s="5" t="s">
        <v>31</v>
      </c>
    </row>
    <row r="9" spans="3:10">
      <c r="C9" s="5">
        <v>2016</v>
      </c>
      <c r="D9">
        <v>16930457</v>
      </c>
      <c r="E9">
        <v>9</v>
      </c>
      <c r="F9">
        <v>1</v>
      </c>
      <c r="G9">
        <f t="shared" ref="G9:G18" si="0">PRODUCT(D9,F9)</f>
        <v>16930457</v>
      </c>
      <c r="H9">
        <f t="shared" ref="H9:H18" si="1">G9-D9</f>
        <v>0</v>
      </c>
      <c r="I9" s="1">
        <v>27962781</v>
      </c>
      <c r="J9" s="3">
        <f>(G9/I9)*100</f>
        <v>60.546399158223927</v>
      </c>
    </row>
    <row r="10" spans="3:10">
      <c r="C10" s="5">
        <v>2017</v>
      </c>
      <c r="D10">
        <v>19282126</v>
      </c>
      <c r="E10">
        <v>8</v>
      </c>
      <c r="F10">
        <v>1.0062653632603116</v>
      </c>
      <c r="G10">
        <f t="shared" si="0"/>
        <v>19402935.523821097</v>
      </c>
      <c r="H10" s="3">
        <f t="shared" si="1"/>
        <v>120809.52382109687</v>
      </c>
      <c r="I10" s="1">
        <v>29548681</v>
      </c>
      <c r="J10" s="3">
        <f t="shared" ref="J10:J19" si="2">(G10/I10)*100</f>
        <v>65.664303336656886</v>
      </c>
    </row>
    <row r="11" spans="3:10">
      <c r="C11" s="5">
        <v>2018</v>
      </c>
      <c r="D11">
        <v>20057256</v>
      </c>
      <c r="E11">
        <v>7</v>
      </c>
      <c r="F11">
        <v>1.018752593050241</v>
      </c>
      <c r="G11">
        <f t="shared" si="0"/>
        <v>20433381.559472505</v>
      </c>
      <c r="H11" s="3">
        <f t="shared" si="1"/>
        <v>376125.559472505</v>
      </c>
      <c r="I11" s="1">
        <v>32980754</v>
      </c>
      <c r="J11" s="3">
        <f t="shared" si="2"/>
        <v>61.955471240810645</v>
      </c>
    </row>
    <row r="12" spans="3:10">
      <c r="C12" s="5">
        <v>2019</v>
      </c>
      <c r="D12">
        <v>20076247</v>
      </c>
      <c r="E12">
        <v>6</v>
      </c>
      <c r="F12">
        <v>1.034547504963971</v>
      </c>
      <c r="G12">
        <f t="shared" si="0"/>
        <v>20769831.242890406</v>
      </c>
      <c r="H12" s="3">
        <f t="shared" si="1"/>
        <v>693584.2428904064</v>
      </c>
      <c r="I12" s="1">
        <v>33877643</v>
      </c>
      <c r="J12" s="3">
        <f t="shared" si="2"/>
        <v>61.308371550200249</v>
      </c>
    </row>
    <row r="13" spans="3:10">
      <c r="C13" s="5">
        <v>2020</v>
      </c>
      <c r="D13">
        <v>17700445</v>
      </c>
      <c r="E13">
        <v>5</v>
      </c>
      <c r="F13">
        <v>1.0641550445735519</v>
      </c>
      <c r="G13">
        <f t="shared" si="0"/>
        <v>18836017.837946706</v>
      </c>
      <c r="H13" s="3">
        <f t="shared" si="1"/>
        <v>1135572.8379467055</v>
      </c>
      <c r="I13" s="1">
        <v>33865530</v>
      </c>
      <c r="J13" s="3">
        <f t="shared" si="2"/>
        <v>55.620029681941205</v>
      </c>
    </row>
    <row r="14" spans="3:10">
      <c r="C14" s="5">
        <v>2021</v>
      </c>
      <c r="D14">
        <v>19547276</v>
      </c>
      <c r="E14">
        <v>4</v>
      </c>
      <c r="F14">
        <v>1.1098246213220206</v>
      </c>
      <c r="G14">
        <f t="shared" si="0"/>
        <v>21694048.184577022</v>
      </c>
      <c r="H14" s="3">
        <f t="shared" si="1"/>
        <v>2146772.1845770217</v>
      </c>
      <c r="I14" s="1">
        <v>34694312</v>
      </c>
      <c r="J14" s="3">
        <f t="shared" si="2"/>
        <v>62.529120579122655</v>
      </c>
    </row>
    <row r="15" spans="3:10">
      <c r="C15" s="5">
        <v>2022</v>
      </c>
      <c r="D15">
        <v>21757828</v>
      </c>
      <c r="E15">
        <v>3</v>
      </c>
      <c r="F15">
        <v>1.1777351187841023</v>
      </c>
      <c r="G15">
        <f t="shared" si="0"/>
        <v>25624958.144064069</v>
      </c>
      <c r="H15" s="3">
        <f t="shared" si="1"/>
        <v>3867130.1440640688</v>
      </c>
      <c r="I15" s="1">
        <v>39110525</v>
      </c>
      <c r="J15" s="3">
        <f t="shared" si="2"/>
        <v>65.519340750511716</v>
      </c>
    </row>
    <row r="16" spans="3:10">
      <c r="C16" s="5">
        <v>2023</v>
      </c>
      <c r="D16">
        <v>20987296</v>
      </c>
      <c r="E16">
        <v>2</v>
      </c>
      <c r="F16">
        <v>1.284755471289589</v>
      </c>
      <c r="G16">
        <f t="shared" si="0"/>
        <v>26963543.363574106</v>
      </c>
      <c r="H16" s="3">
        <f t="shared" si="1"/>
        <v>5976247.3635741062</v>
      </c>
      <c r="I16" s="1">
        <v>40164363</v>
      </c>
      <c r="J16" s="3">
        <f t="shared" si="2"/>
        <v>67.133003861094735</v>
      </c>
    </row>
    <row r="17" spans="3:10">
      <c r="C17" s="5">
        <v>2024</v>
      </c>
      <c r="D17">
        <v>14658662</v>
      </c>
      <c r="E17">
        <v>1</v>
      </c>
      <c r="F17">
        <v>1.4766821550455929</v>
      </c>
      <c r="G17">
        <f t="shared" si="0"/>
        <v>21646184.592244942</v>
      </c>
      <c r="H17" s="3">
        <f t="shared" si="1"/>
        <v>6987522.5922449417</v>
      </c>
      <c r="I17" s="1">
        <v>39257768</v>
      </c>
      <c r="J17" s="3">
        <f t="shared" si="2"/>
        <v>55.138602358251596</v>
      </c>
    </row>
    <row r="18" spans="3:10">
      <c r="C18" s="5">
        <v>2025</v>
      </c>
      <c r="D18">
        <v>8433068</v>
      </c>
      <c r="E18">
        <v>0</v>
      </c>
      <c r="F18">
        <v>2.1784187273517377</v>
      </c>
      <c r="G18">
        <f t="shared" si="0"/>
        <v>18370753.260230664</v>
      </c>
      <c r="H18" s="3">
        <f t="shared" si="1"/>
        <v>9937685.2602306642</v>
      </c>
      <c r="I18" s="1">
        <v>38003928</v>
      </c>
      <c r="J18" s="3">
        <f>(G18/I18)*100</f>
        <v>48.339090791432568</v>
      </c>
    </row>
    <row r="19" spans="3:10">
      <c r="F19" s="5" t="s">
        <v>29</v>
      </c>
      <c r="G19" s="5">
        <f>SUM(G9:G18)</f>
        <v>210672110.70882154</v>
      </c>
      <c r="H19" s="6">
        <f>SUM(H9:H18)</f>
        <v>31241449.708821516</v>
      </c>
      <c r="I19" s="7">
        <f>SUM(I9:I18)</f>
        <v>349466285</v>
      </c>
      <c r="J19" s="6">
        <f t="shared" si="2"/>
        <v>60.283958639621424</v>
      </c>
    </row>
    <row r="28" spans="3:10">
      <c r="C28" s="5" t="s">
        <v>23</v>
      </c>
      <c r="D28" s="5" t="s">
        <v>24</v>
      </c>
      <c r="E28" s="5" t="s">
        <v>25</v>
      </c>
      <c r="F28" s="5" t="s">
        <v>26</v>
      </c>
      <c r="G28" s="5" t="s">
        <v>27</v>
      </c>
      <c r="H28" s="5" t="s">
        <v>28</v>
      </c>
      <c r="I28" s="5" t="s">
        <v>30</v>
      </c>
      <c r="J28" s="5" t="s">
        <v>31</v>
      </c>
    </row>
    <row r="29" spans="3:10">
      <c r="C29" s="5">
        <v>2016</v>
      </c>
      <c r="D29" s="1">
        <v>3321354</v>
      </c>
      <c r="E29">
        <v>9</v>
      </c>
      <c r="F29">
        <v>1</v>
      </c>
      <c r="G29">
        <f t="shared" ref="G29:G38" si="3">PRODUCT(D29,F29)</f>
        <v>3321354</v>
      </c>
      <c r="H29">
        <f t="shared" ref="H29:H38" si="4">G29-D29</f>
        <v>0</v>
      </c>
      <c r="I29" s="1">
        <v>6199941</v>
      </c>
      <c r="J29" s="3">
        <f>(G29/I29)*100</f>
        <v>53.570735592483864</v>
      </c>
    </row>
    <row r="30" spans="3:10">
      <c r="C30" s="5">
        <v>2017</v>
      </c>
      <c r="D30" s="1">
        <v>3820003</v>
      </c>
      <c r="E30">
        <v>8</v>
      </c>
      <c r="F30">
        <v>1.0007668413578485</v>
      </c>
      <c r="G30">
        <f t="shared" si="3"/>
        <v>3822932.3362875055</v>
      </c>
      <c r="H30" s="3">
        <f t="shared" si="4"/>
        <v>2929.336287505459</v>
      </c>
      <c r="I30" s="1">
        <v>6345477</v>
      </c>
      <c r="J30" s="3">
        <f t="shared" ref="J30:J39" si="5">(G30/I30)*100</f>
        <v>60.246571475832397</v>
      </c>
    </row>
    <row r="31" spans="3:10">
      <c r="C31" s="5">
        <v>2018</v>
      </c>
      <c r="D31" s="1">
        <v>3721713</v>
      </c>
      <c r="E31">
        <v>7</v>
      </c>
      <c r="F31">
        <v>1.002316900188096</v>
      </c>
      <c r="G31">
        <f t="shared" si="3"/>
        <v>3730335.8375497395</v>
      </c>
      <c r="H31" s="3">
        <f t="shared" si="4"/>
        <v>8622.8375497395173</v>
      </c>
      <c r="I31" s="1">
        <v>6654376</v>
      </c>
      <c r="J31" s="3">
        <f t="shared" si="5"/>
        <v>56.05838680516009</v>
      </c>
    </row>
    <row r="32" spans="3:10">
      <c r="C32" s="5">
        <v>2019</v>
      </c>
      <c r="D32" s="1">
        <v>3866451</v>
      </c>
      <c r="E32">
        <v>6</v>
      </c>
      <c r="F32">
        <v>1.0040690607309068</v>
      </c>
      <c r="G32">
        <f t="shared" si="3"/>
        <v>3882183.8239320754</v>
      </c>
      <c r="H32" s="3">
        <f t="shared" si="4"/>
        <v>15732.823932075407</v>
      </c>
      <c r="I32" s="1">
        <v>6874401</v>
      </c>
      <c r="J32" s="3">
        <f t="shared" si="5"/>
        <v>56.47304869081794</v>
      </c>
    </row>
    <row r="33" spans="3:10">
      <c r="C33" s="5">
        <v>2020</v>
      </c>
      <c r="D33" s="1">
        <v>4460628</v>
      </c>
      <c r="E33">
        <v>5</v>
      </c>
      <c r="F33">
        <v>1.0063322636649281</v>
      </c>
      <c r="G33">
        <f t="shared" si="3"/>
        <v>4488873.8726071613</v>
      </c>
      <c r="H33" s="3">
        <f t="shared" si="4"/>
        <v>28245.872607161291</v>
      </c>
      <c r="I33" s="1">
        <v>7099380</v>
      </c>
      <c r="J33" s="3">
        <f t="shared" si="5"/>
        <v>63.229097084635008</v>
      </c>
    </row>
    <row r="34" spans="3:10">
      <c r="C34" s="5">
        <v>2021</v>
      </c>
      <c r="D34" s="1">
        <v>5444061</v>
      </c>
      <c r="E34">
        <v>4</v>
      </c>
      <c r="F34">
        <v>1.0107987980283939</v>
      </c>
      <c r="G34">
        <f t="shared" si="3"/>
        <v>5502850.3151932564</v>
      </c>
      <c r="H34" s="3">
        <f t="shared" si="4"/>
        <v>58789.315193256363</v>
      </c>
      <c r="I34" s="1">
        <v>7701233</v>
      </c>
      <c r="J34" s="3">
        <f t="shared" si="5"/>
        <v>71.454146565793508</v>
      </c>
    </row>
    <row r="35" spans="3:10">
      <c r="C35" s="5">
        <v>2022</v>
      </c>
      <c r="D35" s="1">
        <v>5559443</v>
      </c>
      <c r="E35">
        <v>3</v>
      </c>
      <c r="F35">
        <v>1.0197781624372646</v>
      </c>
      <c r="G35">
        <f t="shared" si="3"/>
        <v>5669398.5667147133</v>
      </c>
      <c r="H35" s="3">
        <f t="shared" si="4"/>
        <v>109955.56671471335</v>
      </c>
      <c r="I35" s="1">
        <v>8512807</v>
      </c>
      <c r="J35" s="3">
        <f t="shared" si="5"/>
        <v>66.598462372220041</v>
      </c>
    </row>
    <row r="36" spans="3:10">
      <c r="C36" s="5">
        <v>2023</v>
      </c>
      <c r="D36" s="1">
        <v>6505882</v>
      </c>
      <c r="E36">
        <v>2</v>
      </c>
      <c r="F36">
        <v>1.0311474429474916</v>
      </c>
      <c r="G36">
        <f t="shared" si="3"/>
        <v>6708523.5884181131</v>
      </c>
      <c r="H36" s="3">
        <f t="shared" si="4"/>
        <v>202641.58841811307</v>
      </c>
      <c r="I36" s="1">
        <v>9279834</v>
      </c>
      <c r="J36" s="3">
        <f t="shared" si="5"/>
        <v>72.291418019095104</v>
      </c>
    </row>
    <row r="37" spans="3:10">
      <c r="C37" s="5">
        <v>2024</v>
      </c>
      <c r="D37" s="1">
        <v>4830559</v>
      </c>
      <c r="E37">
        <v>1</v>
      </c>
      <c r="F37">
        <v>1.0769077044460864</v>
      </c>
      <c r="G37">
        <f t="shared" si="3"/>
        <v>5202066.2038813829</v>
      </c>
      <c r="H37" s="3">
        <f t="shared" si="4"/>
        <v>371507.20388138294</v>
      </c>
      <c r="I37" s="1">
        <v>10193824</v>
      </c>
      <c r="J37" s="3">
        <f t="shared" si="5"/>
        <v>51.031548159762053</v>
      </c>
    </row>
    <row r="38" spans="3:10">
      <c r="C38" s="5">
        <v>2025</v>
      </c>
      <c r="D38" s="11">
        <v>3401457</v>
      </c>
      <c r="E38">
        <v>0</v>
      </c>
      <c r="F38">
        <v>1.4567930297734775</v>
      </c>
      <c r="G38">
        <f t="shared" si="3"/>
        <v>4955218.8486742033</v>
      </c>
      <c r="H38" s="3">
        <f t="shared" si="4"/>
        <v>1553761.8486742033</v>
      </c>
      <c r="I38" s="1">
        <v>10452012</v>
      </c>
      <c r="J38" s="3">
        <f t="shared" si="5"/>
        <v>47.409234209396274</v>
      </c>
    </row>
    <row r="39" spans="3:10">
      <c r="F39" s="5" t="s">
        <v>29</v>
      </c>
      <c r="G39" s="5">
        <f>SUM(G29:G38)</f>
        <v>47283737.393258147</v>
      </c>
      <c r="H39" s="6">
        <f>SUM(H29:H38)</f>
        <v>2352186.3932581507</v>
      </c>
      <c r="I39" s="7">
        <f>SUM(I29:I38)</f>
        <v>79313285</v>
      </c>
      <c r="J39" s="6">
        <f t="shared" si="5"/>
        <v>59.616415324693897</v>
      </c>
    </row>
    <row r="40" spans="3:10">
      <c r="G40" s="5"/>
    </row>
    <row r="46" spans="3:10">
      <c r="C46" s="5" t="s">
        <v>23</v>
      </c>
      <c r="D46" s="5" t="s">
        <v>24</v>
      </c>
      <c r="E46" s="5" t="s">
        <v>25</v>
      </c>
      <c r="F46" s="5" t="s">
        <v>26</v>
      </c>
      <c r="G46" s="5" t="s">
        <v>27</v>
      </c>
      <c r="H46" s="5" t="s">
        <v>28</v>
      </c>
      <c r="I46" s="5" t="s">
        <v>30</v>
      </c>
      <c r="J46" s="5" t="s">
        <v>31</v>
      </c>
    </row>
    <row r="47" spans="3:10">
      <c r="C47" s="5">
        <v>2016</v>
      </c>
      <c r="D47" s="1">
        <v>4737279</v>
      </c>
      <c r="E47">
        <v>9</v>
      </c>
      <c r="F47">
        <v>1</v>
      </c>
      <c r="G47">
        <f t="shared" ref="G47:G56" si="6">PRODUCT(D47,F47)</f>
        <v>4737279</v>
      </c>
      <c r="H47">
        <f t="shared" ref="H47:H56" si="7">G47-D47</f>
        <v>0</v>
      </c>
      <c r="I47" s="12">
        <v>6267801</v>
      </c>
      <c r="J47" s="3">
        <f>(G47/I47)*100</f>
        <v>75.581196658923915</v>
      </c>
    </row>
    <row r="48" spans="3:10">
      <c r="C48" s="5">
        <v>2017</v>
      </c>
      <c r="D48" s="12">
        <v>4717707</v>
      </c>
      <c r="E48">
        <v>8</v>
      </c>
      <c r="F48">
        <v>1.0012696374251999</v>
      </c>
      <c r="G48">
        <f t="shared" si="6"/>
        <v>4723696.7773683276</v>
      </c>
      <c r="H48" s="3">
        <f t="shared" si="7"/>
        <v>5989.7773683276027</v>
      </c>
      <c r="I48" s="12">
        <v>6689561</v>
      </c>
      <c r="J48" s="3">
        <f t="shared" ref="J48:J57" si="8">(G48/I48)*100</f>
        <v>70.612956177069435</v>
      </c>
    </row>
    <row r="49" spans="3:10">
      <c r="C49" s="5">
        <v>2018</v>
      </c>
      <c r="D49" s="12">
        <v>4735270</v>
      </c>
      <c r="E49">
        <v>7</v>
      </c>
      <c r="F49">
        <v>1.0046171282262912</v>
      </c>
      <c r="G49">
        <f t="shared" si="6"/>
        <v>4757133.3487761104</v>
      </c>
      <c r="H49" s="3">
        <f t="shared" si="7"/>
        <v>21863.348776110448</v>
      </c>
      <c r="I49" s="12">
        <v>7094989</v>
      </c>
      <c r="J49" s="3">
        <f t="shared" si="8"/>
        <v>67.049199777140046</v>
      </c>
    </row>
    <row r="50" spans="3:10">
      <c r="C50" s="5">
        <v>2019</v>
      </c>
      <c r="D50" s="12">
        <v>4640838</v>
      </c>
      <c r="E50">
        <v>6</v>
      </c>
      <c r="F50">
        <v>1.0107099117156457</v>
      </c>
      <c r="G50">
        <f t="shared" si="6"/>
        <v>4690540.9652666142</v>
      </c>
      <c r="H50" s="3">
        <f t="shared" si="7"/>
        <v>49702.965266614221</v>
      </c>
      <c r="I50" s="12">
        <v>7103034</v>
      </c>
      <c r="J50" s="3">
        <f t="shared" si="8"/>
        <v>66.035738605032918</v>
      </c>
    </row>
    <row r="51" spans="3:10">
      <c r="C51" s="5">
        <v>2020</v>
      </c>
      <c r="D51" s="12">
        <v>3636672</v>
      </c>
      <c r="E51">
        <v>5</v>
      </c>
      <c r="F51">
        <v>1.0268608778647812</v>
      </c>
      <c r="G51">
        <f t="shared" si="6"/>
        <v>3734356.2024262697</v>
      </c>
      <c r="H51" s="3">
        <f t="shared" si="7"/>
        <v>97684.20242626965</v>
      </c>
      <c r="I51" s="12">
        <v>6954739</v>
      </c>
      <c r="J51" s="3">
        <f t="shared" si="8"/>
        <v>53.69513079392727</v>
      </c>
    </row>
    <row r="52" spans="3:10">
      <c r="C52" s="5">
        <v>2021</v>
      </c>
      <c r="D52" s="12">
        <v>4674585</v>
      </c>
      <c r="E52">
        <v>4</v>
      </c>
      <c r="F52">
        <v>1.0588169690598699</v>
      </c>
      <c r="G52">
        <f t="shared" si="6"/>
        <v>4949529.9213127317</v>
      </c>
      <c r="H52" s="3">
        <f t="shared" si="7"/>
        <v>274944.92131273169</v>
      </c>
      <c r="I52" s="12">
        <v>7368884</v>
      </c>
      <c r="J52" s="3">
        <f t="shared" si="8"/>
        <v>67.167971721535196</v>
      </c>
    </row>
    <row r="53" spans="3:10">
      <c r="C53" s="5">
        <v>2022</v>
      </c>
      <c r="D53" s="12">
        <v>5218593</v>
      </c>
      <c r="E53">
        <v>3</v>
      </c>
      <c r="F53">
        <v>1.1246368331682695</v>
      </c>
      <c r="G53">
        <f t="shared" si="6"/>
        <v>5869021.9051140985</v>
      </c>
      <c r="H53" s="3">
        <f t="shared" si="7"/>
        <v>650428.90511409845</v>
      </c>
      <c r="I53" s="12">
        <v>7845430</v>
      </c>
      <c r="J53" s="3">
        <f t="shared" si="8"/>
        <v>74.808160994542021</v>
      </c>
    </row>
    <row r="54" spans="3:10">
      <c r="C54" s="5">
        <v>2023</v>
      </c>
      <c r="D54" s="12">
        <v>4418368</v>
      </c>
      <c r="E54">
        <v>2</v>
      </c>
      <c r="F54">
        <v>1.2621322040503486</v>
      </c>
      <c r="G54">
        <f t="shared" si="6"/>
        <v>5576564.5421455307</v>
      </c>
      <c r="H54" s="3">
        <f t="shared" si="7"/>
        <v>1158196.5421455307</v>
      </c>
      <c r="I54" s="12">
        <v>7487936</v>
      </c>
      <c r="J54" s="3">
        <f t="shared" si="8"/>
        <v>74.473987787095538</v>
      </c>
    </row>
    <row r="55" spans="3:10">
      <c r="C55" s="5">
        <v>2024</v>
      </c>
      <c r="D55" s="12">
        <v>2908115</v>
      </c>
      <c r="E55">
        <v>1</v>
      </c>
      <c r="F55">
        <v>1.5733075958788354</v>
      </c>
      <c r="G55">
        <f t="shared" si="6"/>
        <v>4575359.4191891793</v>
      </c>
      <c r="H55" s="3">
        <f t="shared" si="7"/>
        <v>1667244.4191891793</v>
      </c>
      <c r="I55" s="12">
        <v>6887581</v>
      </c>
      <c r="J55" s="3">
        <f t="shared" si="8"/>
        <v>66.429119587692384</v>
      </c>
    </row>
    <row r="56" spans="3:10">
      <c r="C56" s="5">
        <v>2025</v>
      </c>
      <c r="D56" s="12">
        <v>1180595</v>
      </c>
      <c r="E56">
        <v>0</v>
      </c>
      <c r="F56">
        <v>2.9479235278439506</v>
      </c>
      <c r="G56">
        <f t="shared" si="6"/>
        <v>3480303.7773549287</v>
      </c>
      <c r="H56" s="3">
        <f t="shared" si="7"/>
        <v>2299708.7773549287</v>
      </c>
      <c r="I56" s="12">
        <v>6186321</v>
      </c>
      <c r="J56" s="3">
        <f t="shared" si="8"/>
        <v>56.258053491807622</v>
      </c>
    </row>
    <row r="57" spans="3:10">
      <c r="F57" s="5" t="s">
        <v>29</v>
      </c>
      <c r="G57" s="5">
        <f>SUM(G47:G56)</f>
        <v>47093785.858953789</v>
      </c>
      <c r="H57" s="6">
        <f>SUM(H47:H56)</f>
        <v>6225763.8589537907</v>
      </c>
      <c r="I57" s="7">
        <f>SUM(I47:I56)</f>
        <v>69886276</v>
      </c>
      <c r="J57" s="6">
        <f t="shared" si="8"/>
        <v>67.386314673504415</v>
      </c>
    </row>
    <row r="64" spans="3:10">
      <c r="C64" s="5" t="s">
        <v>23</v>
      </c>
      <c r="D64" s="5" t="s">
        <v>24</v>
      </c>
      <c r="E64" s="5" t="s">
        <v>25</v>
      </c>
      <c r="F64" s="5" t="s">
        <v>26</v>
      </c>
      <c r="G64" s="5" t="s">
        <v>27</v>
      </c>
      <c r="H64" s="5" t="s">
        <v>28</v>
      </c>
      <c r="I64" s="5" t="s">
        <v>30</v>
      </c>
      <c r="J64" s="5" t="s">
        <v>31</v>
      </c>
    </row>
    <row r="65" spans="3:10">
      <c r="C65" s="5">
        <v>2016</v>
      </c>
      <c r="D65" s="12">
        <v>1174894</v>
      </c>
      <c r="E65">
        <v>9</v>
      </c>
      <c r="F65">
        <v>1</v>
      </c>
      <c r="G65">
        <f t="shared" ref="G65:G74" si="9">PRODUCT(D65,F65)</f>
        <v>1174894</v>
      </c>
      <c r="H65">
        <f t="shared" ref="H65:H74" si="10">G65-D65</f>
        <v>0</v>
      </c>
      <c r="I65" s="12">
        <v>1425900</v>
      </c>
      <c r="J65" s="3">
        <f>(G65/I65)*100</f>
        <v>82.396661757486498</v>
      </c>
    </row>
    <row r="66" spans="3:10">
      <c r="C66" s="5">
        <v>2017</v>
      </c>
      <c r="D66" s="12">
        <v>1217856</v>
      </c>
      <c r="E66">
        <v>8</v>
      </c>
      <c r="F66">
        <v>1.0019888074148744</v>
      </c>
      <c r="G66">
        <f t="shared" si="9"/>
        <v>1220278.0810430492</v>
      </c>
      <c r="H66" s="3">
        <f t="shared" si="10"/>
        <v>2422.0810430492274</v>
      </c>
      <c r="I66" s="12">
        <v>1515575</v>
      </c>
      <c r="J66" s="3">
        <f t="shared" ref="J66:J75" si="11">(G66/I66)*100</f>
        <v>80.515849168998514</v>
      </c>
    </row>
    <row r="67" spans="3:10">
      <c r="C67" s="5">
        <v>2018</v>
      </c>
      <c r="D67" s="12">
        <v>1208500</v>
      </c>
      <c r="E67">
        <v>7</v>
      </c>
      <c r="F67">
        <v>1.0084565664512708</v>
      </c>
      <c r="G67">
        <f t="shared" si="9"/>
        <v>1218719.7605563607</v>
      </c>
      <c r="H67" s="3">
        <f t="shared" si="10"/>
        <v>10219.760556360707</v>
      </c>
      <c r="I67" s="12">
        <v>1511812</v>
      </c>
      <c r="J67" s="3">
        <f t="shared" si="11"/>
        <v>80.613182099120834</v>
      </c>
    </row>
    <row r="68" spans="3:10">
      <c r="C68" s="5">
        <v>2019</v>
      </c>
      <c r="D68" s="12">
        <v>1163487</v>
      </c>
      <c r="E68">
        <v>6</v>
      </c>
      <c r="F68">
        <v>1.0256251751687435</v>
      </c>
      <c r="G68">
        <f t="shared" si="9"/>
        <v>1193301.5581815559</v>
      </c>
      <c r="H68" s="3">
        <f t="shared" si="10"/>
        <v>29814.558181555942</v>
      </c>
      <c r="I68" s="12">
        <v>1548861</v>
      </c>
      <c r="J68" s="3">
        <f t="shared" si="11"/>
        <v>77.043812077491523</v>
      </c>
    </row>
    <row r="69" spans="3:10">
      <c r="C69" s="5">
        <v>2020</v>
      </c>
      <c r="D69" s="12">
        <v>853119</v>
      </c>
      <c r="E69">
        <v>5</v>
      </c>
      <c r="F69">
        <v>1.0654831051766975</v>
      </c>
      <c r="G69">
        <f t="shared" si="9"/>
        <v>908983.88120523898</v>
      </c>
      <c r="H69" s="3">
        <f t="shared" si="10"/>
        <v>55864.881205238984</v>
      </c>
      <c r="I69" s="12">
        <v>1506500</v>
      </c>
      <c r="J69" s="3">
        <f t="shared" si="11"/>
        <v>60.337463073696583</v>
      </c>
    </row>
    <row r="70" spans="3:10">
      <c r="C70" s="5">
        <v>2021</v>
      </c>
      <c r="D70" s="12">
        <v>920892</v>
      </c>
      <c r="E70">
        <v>4</v>
      </c>
      <c r="F70">
        <v>1.1500761088929363</v>
      </c>
      <c r="G70">
        <f t="shared" si="9"/>
        <v>1059095.8880706339</v>
      </c>
      <c r="H70" s="3">
        <f t="shared" si="10"/>
        <v>138203.88807063387</v>
      </c>
      <c r="I70" s="12">
        <v>1534073</v>
      </c>
      <c r="J70" s="3">
        <f t="shared" si="11"/>
        <v>69.038167549434334</v>
      </c>
    </row>
    <row r="71" spans="3:10">
      <c r="C71" s="5">
        <v>2022</v>
      </c>
      <c r="D71" s="12">
        <v>977744</v>
      </c>
      <c r="E71">
        <v>3</v>
      </c>
      <c r="F71">
        <v>1.3542296371164364</v>
      </c>
      <c r="G71">
        <f t="shared" si="9"/>
        <v>1324089.902312773</v>
      </c>
      <c r="H71" s="3">
        <f t="shared" si="10"/>
        <v>346345.90231277305</v>
      </c>
      <c r="I71" s="12">
        <v>1678505</v>
      </c>
      <c r="J71" s="3">
        <f t="shared" si="11"/>
        <v>78.885073461966044</v>
      </c>
    </row>
    <row r="72" spans="3:10">
      <c r="C72" s="5">
        <v>2023</v>
      </c>
      <c r="D72" s="12">
        <v>748590</v>
      </c>
      <c r="E72">
        <v>2</v>
      </c>
      <c r="F72">
        <v>1.7856998446472439</v>
      </c>
      <c r="G72">
        <f t="shared" si="9"/>
        <v>1336757.0467044802</v>
      </c>
      <c r="H72" s="3">
        <f t="shared" si="10"/>
        <v>588167.04670448019</v>
      </c>
      <c r="I72" s="12">
        <v>1803043</v>
      </c>
      <c r="J72" s="3">
        <f t="shared" si="11"/>
        <v>74.138944368186458</v>
      </c>
    </row>
    <row r="73" spans="3:10">
      <c r="C73" s="5">
        <v>2024</v>
      </c>
      <c r="D73" s="12">
        <v>433276</v>
      </c>
      <c r="E73">
        <v>1</v>
      </c>
      <c r="F73">
        <v>2.8629674049042082</v>
      </c>
      <c r="G73">
        <f t="shared" si="9"/>
        <v>1240455.0653272758</v>
      </c>
      <c r="H73" s="3">
        <f t="shared" si="10"/>
        <v>807179.06532727578</v>
      </c>
      <c r="I73" s="12">
        <v>1779728</v>
      </c>
      <c r="J73" s="3">
        <f t="shared" si="11"/>
        <v>69.699137470853728</v>
      </c>
    </row>
    <row r="74" spans="3:10">
      <c r="C74" s="5">
        <v>2025</v>
      </c>
      <c r="D74" s="12">
        <v>142813</v>
      </c>
      <c r="E74">
        <v>0</v>
      </c>
      <c r="F74">
        <v>7.0887803873929078</v>
      </c>
      <c r="G74">
        <f t="shared" si="9"/>
        <v>1012369.9934647434</v>
      </c>
      <c r="H74" s="3">
        <f t="shared" si="10"/>
        <v>869556.99346474337</v>
      </c>
      <c r="I74" s="12">
        <v>1787766</v>
      </c>
      <c r="J74" s="3">
        <f t="shared" si="11"/>
        <v>56.627656721558829</v>
      </c>
    </row>
    <row r="75" spans="3:10">
      <c r="F75" s="5" t="s">
        <v>29</v>
      </c>
      <c r="G75" s="5">
        <f>SUM(G65:G74)</f>
        <v>11688945.176866112</v>
      </c>
      <c r="H75" s="6">
        <f>SUM(H65:H74)</f>
        <v>2847774.1768661113</v>
      </c>
      <c r="I75" s="7">
        <f>SUM(I65:I74)</f>
        <v>16091763</v>
      </c>
      <c r="J75" s="6">
        <f t="shared" si="11"/>
        <v>72.639307308130952</v>
      </c>
    </row>
    <row r="82" spans="3:10">
      <c r="C82" s="5" t="s">
        <v>23</v>
      </c>
      <c r="D82" s="5" t="s">
        <v>24</v>
      </c>
      <c r="E82" s="5" t="s">
        <v>25</v>
      </c>
      <c r="F82" s="5" t="s">
        <v>26</v>
      </c>
      <c r="G82" s="5" t="s">
        <v>27</v>
      </c>
      <c r="H82" s="5" t="s">
        <v>28</v>
      </c>
      <c r="I82" s="5" t="s">
        <v>30</v>
      </c>
      <c r="J82" s="5" t="s">
        <v>31</v>
      </c>
    </row>
    <row r="83" spans="3:10">
      <c r="C83" s="5">
        <v>2016</v>
      </c>
      <c r="D83" s="12">
        <v>882071</v>
      </c>
      <c r="E83">
        <v>9</v>
      </c>
      <c r="F83">
        <v>1</v>
      </c>
      <c r="G83">
        <f t="shared" ref="G83:G92" si="12">PRODUCT(D83,F83)</f>
        <v>882071</v>
      </c>
      <c r="H83">
        <f t="shared" ref="H83:H92" si="13">G83-D83</f>
        <v>0</v>
      </c>
      <c r="I83" s="12">
        <v>2057095</v>
      </c>
      <c r="J83" s="3">
        <f>(G83/I83)*100</f>
        <v>42.879448931624452</v>
      </c>
    </row>
    <row r="84" spans="3:10">
      <c r="C84" s="5">
        <v>2017</v>
      </c>
      <c r="D84" s="12">
        <v>885476</v>
      </c>
      <c r="E84">
        <v>8</v>
      </c>
      <c r="F84">
        <v>1.0191073015124785</v>
      </c>
      <c r="G84">
        <f t="shared" si="12"/>
        <v>902395.0569140634</v>
      </c>
      <c r="H84" s="3">
        <f t="shared" si="13"/>
        <v>16919.056914063403</v>
      </c>
      <c r="I84" s="12">
        <v>2148397</v>
      </c>
      <c r="J84" s="3">
        <f t="shared" ref="J84:J93" si="14">(G84/I84)*100</f>
        <v>42.003179901762259</v>
      </c>
    </row>
    <row r="85" spans="3:10">
      <c r="C85" s="5">
        <v>2018</v>
      </c>
      <c r="D85" s="12">
        <v>931965</v>
      </c>
      <c r="E85">
        <v>7</v>
      </c>
      <c r="F85">
        <v>1.0464658787660226</v>
      </c>
      <c r="G85">
        <f t="shared" si="12"/>
        <v>975269.5727041763</v>
      </c>
      <c r="H85" s="3">
        <f t="shared" si="13"/>
        <v>43304.572704176302</v>
      </c>
      <c r="I85" s="12">
        <v>2057699</v>
      </c>
      <c r="J85" s="3">
        <f t="shared" si="14"/>
        <v>47.396124151500111</v>
      </c>
    </row>
    <row r="86" spans="3:10">
      <c r="C86" s="5">
        <v>2019</v>
      </c>
      <c r="D86" s="12">
        <v>1014171</v>
      </c>
      <c r="E86">
        <v>6</v>
      </c>
      <c r="F86">
        <v>1.0742191623317148</v>
      </c>
      <c r="G86">
        <f t="shared" si="12"/>
        <v>1089441.9220811175</v>
      </c>
      <c r="H86" s="3">
        <f t="shared" si="13"/>
        <v>75270.922081117518</v>
      </c>
      <c r="I86" s="12">
        <v>2147808</v>
      </c>
      <c r="J86" s="3">
        <f t="shared" si="14"/>
        <v>50.723431614051051</v>
      </c>
    </row>
    <row r="87" spans="3:10">
      <c r="C87" s="5">
        <v>2020</v>
      </c>
      <c r="D87" s="12">
        <v>776863</v>
      </c>
      <c r="E87">
        <v>5</v>
      </c>
      <c r="F87">
        <v>1.0985550348685538</v>
      </c>
      <c r="G87">
        <f t="shared" si="12"/>
        <v>853426.76005308924</v>
      </c>
      <c r="H87" s="3">
        <f t="shared" si="13"/>
        <v>76563.760053089238</v>
      </c>
      <c r="I87" s="12">
        <v>1815054</v>
      </c>
      <c r="J87" s="3">
        <f t="shared" si="14"/>
        <v>47.01935920656296</v>
      </c>
    </row>
    <row r="88" spans="3:10">
      <c r="C88" s="5">
        <v>2021</v>
      </c>
      <c r="D88" s="12">
        <v>691109</v>
      </c>
      <c r="E88">
        <v>4</v>
      </c>
      <c r="F88">
        <v>1.1619473612464115</v>
      </c>
      <c r="G88">
        <f t="shared" si="12"/>
        <v>803032.27888364624</v>
      </c>
      <c r="H88" s="3">
        <f t="shared" si="13"/>
        <v>111923.27888364624</v>
      </c>
      <c r="I88" s="12">
        <v>1630463</v>
      </c>
      <c r="J88" s="3">
        <f t="shared" si="14"/>
        <v>49.25179405381455</v>
      </c>
    </row>
    <row r="89" spans="3:10">
      <c r="C89" s="5">
        <v>2022</v>
      </c>
      <c r="D89" s="12">
        <v>675371</v>
      </c>
      <c r="E89">
        <v>3</v>
      </c>
      <c r="F89">
        <v>1.2661569486584066</v>
      </c>
      <c r="G89">
        <f t="shared" si="12"/>
        <v>855125.68457237666</v>
      </c>
      <c r="H89" s="3">
        <f t="shared" si="13"/>
        <v>179754.68457237666</v>
      </c>
      <c r="I89" s="12">
        <v>1883543</v>
      </c>
      <c r="J89" s="3">
        <f t="shared" si="14"/>
        <v>45.399849356896901</v>
      </c>
    </row>
    <row r="90" spans="3:10">
      <c r="C90" s="5">
        <v>2023</v>
      </c>
      <c r="D90" s="12">
        <v>479925</v>
      </c>
      <c r="E90">
        <v>2</v>
      </c>
      <c r="F90">
        <v>1.4729704737715243</v>
      </c>
      <c r="G90">
        <f t="shared" si="12"/>
        <v>706915.35462479887</v>
      </c>
      <c r="H90" s="3">
        <f t="shared" si="13"/>
        <v>226990.35462479887</v>
      </c>
      <c r="I90" s="12">
        <v>1761078</v>
      </c>
      <c r="J90" s="3">
        <f t="shared" si="14"/>
        <v>40.141058750651524</v>
      </c>
    </row>
    <row r="91" spans="3:10">
      <c r="C91" s="5">
        <v>2024</v>
      </c>
      <c r="D91" s="12">
        <v>288449</v>
      </c>
      <c r="E91">
        <v>1</v>
      </c>
      <c r="F91">
        <v>1.9408123086925526</v>
      </c>
      <c r="G91">
        <f t="shared" si="12"/>
        <v>559825.36963005806</v>
      </c>
      <c r="H91" s="3">
        <f t="shared" si="13"/>
        <v>271376.36963005806</v>
      </c>
      <c r="I91" s="12">
        <v>1532679</v>
      </c>
      <c r="J91" s="3">
        <f t="shared" si="14"/>
        <v>36.525937239960754</v>
      </c>
    </row>
    <row r="92" spans="3:10">
      <c r="C92" s="5">
        <v>2025</v>
      </c>
      <c r="D92" s="12">
        <v>119201</v>
      </c>
      <c r="E92">
        <v>0</v>
      </c>
      <c r="F92">
        <v>4.2869612914459925</v>
      </c>
      <c r="G92">
        <f t="shared" si="12"/>
        <v>511010.07290165377</v>
      </c>
      <c r="H92" s="3">
        <f t="shared" si="13"/>
        <v>391809.07290165377</v>
      </c>
      <c r="I92" s="12">
        <v>1341793</v>
      </c>
      <c r="J92" s="3">
        <f t="shared" si="14"/>
        <v>38.084121239390413</v>
      </c>
    </row>
    <row r="93" spans="3:10">
      <c r="F93" s="5" t="s">
        <v>29</v>
      </c>
      <c r="G93" s="5">
        <f>SUM(G83:G92)</f>
        <v>8138513.0723649794</v>
      </c>
      <c r="H93" s="6">
        <f>SUM(H83:H92)</f>
        <v>1393912.0723649801</v>
      </c>
      <c r="I93" s="7">
        <f>SUM(I83:I92)</f>
        <v>18375609</v>
      </c>
      <c r="J93" s="6">
        <f t="shared" si="14"/>
        <v>44.289759715528227</v>
      </c>
    </row>
    <row r="100" spans="3:10">
      <c r="C100" s="5" t="s">
        <v>23</v>
      </c>
      <c r="D100" s="5" t="s">
        <v>24</v>
      </c>
      <c r="E100" s="5" t="s">
        <v>25</v>
      </c>
      <c r="F100" s="5" t="s">
        <v>26</v>
      </c>
      <c r="G100" s="5" t="s">
        <v>27</v>
      </c>
      <c r="H100" s="5" t="s">
        <v>28</v>
      </c>
      <c r="I100" s="5" t="s">
        <v>30</v>
      </c>
      <c r="J100" s="5" t="s">
        <v>31</v>
      </c>
    </row>
    <row r="101" spans="3:10">
      <c r="C101" s="5">
        <v>2016</v>
      </c>
      <c r="D101" s="12">
        <v>1324692</v>
      </c>
      <c r="E101">
        <v>9</v>
      </c>
      <c r="F101">
        <v>1</v>
      </c>
      <c r="G101">
        <f t="shared" ref="G101:G110" si="15">PRODUCT(D101,F101)</f>
        <v>1324692</v>
      </c>
      <c r="H101">
        <f t="shared" ref="H101:H110" si="16">G101-D101</f>
        <v>0</v>
      </c>
      <c r="I101" s="12">
        <v>2446198</v>
      </c>
      <c r="J101" s="3">
        <f>(G101/I101)*100</f>
        <v>54.1530979912501</v>
      </c>
    </row>
    <row r="102" spans="3:10">
      <c r="C102" s="5">
        <v>2017</v>
      </c>
      <c r="D102" s="12">
        <v>1910066</v>
      </c>
      <c r="E102">
        <v>8</v>
      </c>
      <c r="F102">
        <v>1.0111118404682269</v>
      </c>
      <c r="G102">
        <f t="shared" si="15"/>
        <v>1931290.3486757842</v>
      </c>
      <c r="H102" s="3">
        <f t="shared" si="16"/>
        <v>21224.348675784189</v>
      </c>
      <c r="I102" s="12">
        <v>2467697</v>
      </c>
      <c r="J102" s="3">
        <f t="shared" ref="J102:J111" si="17">(G102/I102)*100</f>
        <v>78.262864066203591</v>
      </c>
    </row>
    <row r="103" spans="3:10">
      <c r="C103" s="5">
        <v>2018</v>
      </c>
      <c r="D103" s="12">
        <v>1666684</v>
      </c>
      <c r="E103">
        <v>7</v>
      </c>
      <c r="F103">
        <v>1.0207177191336343</v>
      </c>
      <c r="G103">
        <f t="shared" si="15"/>
        <v>1701213.890996522</v>
      </c>
      <c r="H103" s="3">
        <f t="shared" si="16"/>
        <v>34529.890996522037</v>
      </c>
      <c r="I103" s="12">
        <v>2389467</v>
      </c>
      <c r="J103" s="3">
        <f t="shared" si="17"/>
        <v>71.196375216586887</v>
      </c>
    </row>
    <row r="104" spans="3:10">
      <c r="C104" s="5">
        <v>2019</v>
      </c>
      <c r="D104" s="12">
        <v>1470307</v>
      </c>
      <c r="E104">
        <v>6</v>
      </c>
      <c r="F104">
        <v>1.0414907960129325</v>
      </c>
      <c r="G104">
        <f t="shared" si="15"/>
        <v>1531311.2078133868</v>
      </c>
      <c r="H104" s="3">
        <f t="shared" si="16"/>
        <v>61004.207813386805</v>
      </c>
      <c r="I104" s="12">
        <v>2426825</v>
      </c>
      <c r="J104" s="3">
        <f t="shared" si="17"/>
        <v>63.099366778131383</v>
      </c>
    </row>
    <row r="105" spans="3:10">
      <c r="C105" s="5">
        <v>2020</v>
      </c>
      <c r="D105" s="12">
        <v>1355547</v>
      </c>
      <c r="E105">
        <v>5</v>
      </c>
      <c r="F105">
        <v>1.079376626816867</v>
      </c>
      <c r="G105">
        <f t="shared" si="15"/>
        <v>1463145.7483517237</v>
      </c>
      <c r="H105" s="3">
        <f t="shared" si="16"/>
        <v>107598.74835172365</v>
      </c>
      <c r="I105" s="12">
        <v>2512292</v>
      </c>
      <c r="J105" s="3">
        <f t="shared" si="17"/>
        <v>58.239478068302716</v>
      </c>
    </row>
    <row r="106" spans="3:10">
      <c r="C106" s="5">
        <v>2021</v>
      </c>
      <c r="D106" s="12">
        <v>1281860</v>
      </c>
      <c r="E106">
        <v>4</v>
      </c>
      <c r="F106">
        <v>1.1398791313944914</v>
      </c>
      <c r="G106">
        <f t="shared" si="15"/>
        <v>1461165.4633693427</v>
      </c>
      <c r="H106" s="3">
        <f t="shared" si="16"/>
        <v>179305.46336934273</v>
      </c>
      <c r="I106" s="12">
        <v>2513684</v>
      </c>
      <c r="J106" s="3">
        <f t="shared" si="17"/>
        <v>58.128446669085797</v>
      </c>
    </row>
    <row r="107" spans="3:10">
      <c r="C107" s="5">
        <v>2022</v>
      </c>
      <c r="D107" s="12">
        <v>1298324</v>
      </c>
      <c r="E107">
        <v>3</v>
      </c>
      <c r="F107">
        <v>1.2478654314607029</v>
      </c>
      <c r="G107">
        <f t="shared" si="15"/>
        <v>1620133.6384357857</v>
      </c>
      <c r="H107" s="3">
        <f t="shared" si="16"/>
        <v>321809.63843578566</v>
      </c>
      <c r="I107" s="12">
        <v>2587529</v>
      </c>
      <c r="J107" s="3">
        <f t="shared" si="17"/>
        <v>62.613158671295501</v>
      </c>
    </row>
    <row r="108" spans="3:10">
      <c r="C108" s="5">
        <v>2023</v>
      </c>
      <c r="D108" s="12">
        <v>953030</v>
      </c>
      <c r="E108">
        <v>2</v>
      </c>
      <c r="F108">
        <v>1.4037997673398319</v>
      </c>
      <c r="G108">
        <f t="shared" si="15"/>
        <v>1337863.2922678799</v>
      </c>
      <c r="H108" s="3">
        <f t="shared" si="16"/>
        <v>384833.29226787994</v>
      </c>
      <c r="I108" s="12">
        <v>2648532</v>
      </c>
      <c r="J108" s="3">
        <f t="shared" si="17"/>
        <v>50.513389767157044</v>
      </c>
    </row>
    <row r="109" spans="3:10">
      <c r="C109" s="5">
        <v>2024</v>
      </c>
      <c r="D109" s="12">
        <v>622461</v>
      </c>
      <c r="E109">
        <v>1</v>
      </c>
      <c r="F109">
        <v>1.6901071842458</v>
      </c>
      <c r="G109">
        <f t="shared" si="15"/>
        <v>1052025.808012825</v>
      </c>
      <c r="H109" s="3">
        <f t="shared" si="16"/>
        <v>429564.80801282497</v>
      </c>
      <c r="I109" s="12">
        <v>2323340</v>
      </c>
      <c r="J109" s="3">
        <f t="shared" si="17"/>
        <v>45.280751332685917</v>
      </c>
    </row>
    <row r="110" spans="3:10">
      <c r="C110" s="5">
        <v>2025</v>
      </c>
      <c r="D110" s="12">
        <v>248722</v>
      </c>
      <c r="E110">
        <v>0</v>
      </c>
      <c r="F110">
        <v>3.0331945630815538</v>
      </c>
      <c r="G110">
        <f t="shared" si="15"/>
        <v>754422.21811877016</v>
      </c>
      <c r="H110" s="3">
        <f t="shared" si="16"/>
        <v>505700.21811877016</v>
      </c>
      <c r="I110" s="12">
        <v>2167733</v>
      </c>
      <c r="J110" s="3">
        <f t="shared" si="17"/>
        <v>34.802358875321374</v>
      </c>
    </row>
    <row r="111" spans="3:10">
      <c r="F111" s="5" t="s">
        <v>29</v>
      </c>
      <c r="G111" s="5">
        <f>SUM(G101:G110)</f>
        <v>14177263.616042018</v>
      </c>
      <c r="H111" s="6">
        <f>SUM(H101:H110)</f>
        <v>2045570.6160420203</v>
      </c>
      <c r="I111" s="7">
        <f>SUM(I101:I110)</f>
        <v>24483297</v>
      </c>
      <c r="J111" s="6">
        <f t="shared" si="17"/>
        <v>57.90585972159721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09FB-E40B-5B4D-A7FD-6C83275583D5}">
  <dimension ref="B5:G111"/>
  <sheetViews>
    <sheetView workbookViewId="0">
      <selection activeCell="G15" sqref="G15"/>
    </sheetView>
  </sheetViews>
  <sheetFormatPr baseColWidth="10" defaultRowHeight="16"/>
  <cols>
    <col min="2" max="2" width="12.33203125" bestFit="1" customWidth="1"/>
    <col min="3" max="3" width="15.1640625" bestFit="1" customWidth="1"/>
    <col min="4" max="4" width="28.6640625" bestFit="1" customWidth="1"/>
    <col min="5" max="5" width="25.5" bestFit="1" customWidth="1"/>
    <col min="6" max="6" width="16" bestFit="1" customWidth="1"/>
    <col min="7" max="7" width="24.1640625" bestFit="1" customWidth="1"/>
    <col min="8" max="8" width="39.33203125" bestFit="1" customWidth="1"/>
  </cols>
  <sheetData>
    <row r="5" spans="2:7">
      <c r="B5" s="5"/>
      <c r="C5" s="5"/>
      <c r="D5" s="5"/>
      <c r="E5" s="5"/>
      <c r="F5" s="5"/>
      <c r="G5" s="5"/>
    </row>
    <row r="6" spans="2:7">
      <c r="B6" s="5"/>
      <c r="C6" s="1"/>
      <c r="D6" s="3"/>
      <c r="F6" s="3"/>
      <c r="G6" s="5"/>
    </row>
    <row r="7" spans="2:7">
      <c r="B7" s="5"/>
      <c r="C7" s="1"/>
      <c r="D7" s="3"/>
      <c r="F7" s="3"/>
    </row>
    <row r="8" spans="2:7">
      <c r="B8" s="5" t="s">
        <v>23</v>
      </c>
      <c r="C8" s="5" t="s">
        <v>30</v>
      </c>
      <c r="D8" s="5" t="s">
        <v>32</v>
      </c>
      <c r="E8" s="5" t="s">
        <v>33</v>
      </c>
      <c r="F8" s="5" t="s">
        <v>34</v>
      </c>
      <c r="G8" s="5" t="s">
        <v>35</v>
      </c>
    </row>
    <row r="9" spans="2:7">
      <c r="B9" s="5">
        <v>2016</v>
      </c>
      <c r="C9" s="1">
        <v>27962781</v>
      </c>
      <c r="D9" s="3">
        <v>60.546399158223927</v>
      </c>
      <c r="E9">
        <v>60.28</v>
      </c>
      <c r="F9" s="3">
        <f>D9-E9</f>
        <v>0.26639915822392624</v>
      </c>
      <c r="G9" s="5" t="s">
        <v>36</v>
      </c>
    </row>
    <row r="10" spans="2:7">
      <c r="B10" s="5">
        <v>2017</v>
      </c>
      <c r="C10" s="1">
        <v>29548681</v>
      </c>
      <c r="D10" s="3">
        <v>65.664303336656886</v>
      </c>
      <c r="E10">
        <v>60.28</v>
      </c>
      <c r="F10" s="3">
        <f>D10-E10</f>
        <v>5.3843033366568847</v>
      </c>
      <c r="G10" s="8" t="s">
        <v>37</v>
      </c>
    </row>
    <row r="11" spans="2:7">
      <c r="B11" s="5">
        <v>2018</v>
      </c>
      <c r="C11" s="1">
        <v>32980754</v>
      </c>
      <c r="D11" s="3">
        <v>61.955471240810645</v>
      </c>
      <c r="E11">
        <v>60.28</v>
      </c>
      <c r="F11" s="3">
        <f t="shared" ref="F11:F18" si="0">D11-E11</f>
        <v>1.6754712408106442</v>
      </c>
      <c r="G11" s="5" t="s">
        <v>36</v>
      </c>
    </row>
    <row r="12" spans="2:7">
      <c r="B12" s="5">
        <v>2019</v>
      </c>
      <c r="C12" s="1">
        <v>33877643</v>
      </c>
      <c r="D12" s="3">
        <v>61.308371550200249</v>
      </c>
      <c r="E12">
        <v>60.28</v>
      </c>
      <c r="F12" s="3">
        <f t="shared" si="0"/>
        <v>1.028371550200248</v>
      </c>
      <c r="G12" s="5" t="s">
        <v>36</v>
      </c>
    </row>
    <row r="13" spans="2:7">
      <c r="B13" s="5">
        <v>2020</v>
      </c>
      <c r="C13" s="1">
        <v>33865530</v>
      </c>
      <c r="D13" s="3">
        <v>55.620029681941205</v>
      </c>
      <c r="E13">
        <v>60.28</v>
      </c>
      <c r="F13" s="3">
        <f t="shared" si="0"/>
        <v>-4.6599703180587966</v>
      </c>
      <c r="G13" s="5" t="s">
        <v>36</v>
      </c>
    </row>
    <row r="14" spans="2:7">
      <c r="B14" s="5">
        <v>2021</v>
      </c>
      <c r="C14" s="1">
        <v>34694312</v>
      </c>
      <c r="D14" s="3">
        <v>62.529120579122655</v>
      </c>
      <c r="E14">
        <v>60.28</v>
      </c>
      <c r="F14" s="3">
        <f t="shared" si="0"/>
        <v>2.2491205791226534</v>
      </c>
      <c r="G14" s="5" t="s">
        <v>36</v>
      </c>
    </row>
    <row r="15" spans="2:7">
      <c r="B15" s="5">
        <v>2022</v>
      </c>
      <c r="C15" s="1">
        <v>39110525</v>
      </c>
      <c r="D15" s="3">
        <v>65.519340750511716</v>
      </c>
      <c r="E15">
        <v>60.28</v>
      </c>
      <c r="F15" s="3">
        <f t="shared" si="0"/>
        <v>5.2393407505117153</v>
      </c>
      <c r="G15" s="8" t="s">
        <v>37</v>
      </c>
    </row>
    <row r="16" spans="2:7">
      <c r="B16" s="5">
        <v>2023</v>
      </c>
      <c r="C16" s="1">
        <v>40164363</v>
      </c>
      <c r="D16" s="3">
        <v>67.133003861094735</v>
      </c>
      <c r="E16">
        <v>60.28</v>
      </c>
      <c r="F16" s="3">
        <f t="shared" si="0"/>
        <v>6.8530038610947344</v>
      </c>
      <c r="G16" s="8" t="s">
        <v>37</v>
      </c>
    </row>
    <row r="17" spans="2:7">
      <c r="B17" s="5">
        <v>2024</v>
      </c>
      <c r="C17" s="1">
        <v>39257768</v>
      </c>
      <c r="D17" s="3">
        <v>55.138602358251596</v>
      </c>
      <c r="E17">
        <v>60.28</v>
      </c>
      <c r="F17" s="3">
        <f t="shared" si="0"/>
        <v>-5.1413976417484051</v>
      </c>
      <c r="G17" s="9" t="s">
        <v>38</v>
      </c>
    </row>
    <row r="18" spans="2:7">
      <c r="B18" s="5">
        <v>2025</v>
      </c>
      <c r="C18" s="1">
        <v>38003928</v>
      </c>
      <c r="D18" s="3">
        <v>48.339090791432568</v>
      </c>
      <c r="E18">
        <v>60.28</v>
      </c>
      <c r="F18" s="3">
        <f t="shared" si="0"/>
        <v>-11.940909208567433</v>
      </c>
      <c r="G18" s="9" t="s">
        <v>38</v>
      </c>
    </row>
    <row r="28" spans="2:7">
      <c r="B28" s="5" t="s">
        <v>23</v>
      </c>
      <c r="C28" s="5" t="s">
        <v>30</v>
      </c>
      <c r="D28" s="5" t="s">
        <v>32</v>
      </c>
      <c r="E28" s="5" t="s">
        <v>33</v>
      </c>
      <c r="F28" s="5" t="s">
        <v>34</v>
      </c>
      <c r="G28" s="5" t="s">
        <v>35</v>
      </c>
    </row>
    <row r="29" spans="2:7">
      <c r="B29" s="5">
        <v>2016</v>
      </c>
      <c r="C29">
        <v>6199941</v>
      </c>
      <c r="D29" s="3">
        <v>53.570735592483864</v>
      </c>
      <c r="E29">
        <v>59.62</v>
      </c>
      <c r="F29" s="3">
        <f>D29-E29</f>
        <v>-6.0492644075161337</v>
      </c>
      <c r="G29" s="9" t="s">
        <v>38</v>
      </c>
    </row>
    <row r="30" spans="2:7">
      <c r="B30" s="5">
        <v>2017</v>
      </c>
      <c r="C30">
        <v>6345477</v>
      </c>
      <c r="D30" s="3">
        <v>60.246571475832397</v>
      </c>
      <c r="E30">
        <v>59.62</v>
      </c>
      <c r="F30" s="3">
        <f>D30-E30</f>
        <v>0.62657147583239947</v>
      </c>
      <c r="G30" s="5" t="s">
        <v>36</v>
      </c>
    </row>
    <row r="31" spans="2:7">
      <c r="B31" s="5">
        <v>2018</v>
      </c>
      <c r="C31">
        <v>6654376</v>
      </c>
      <c r="D31" s="3">
        <v>56.05838680516009</v>
      </c>
      <c r="E31">
        <v>59.62</v>
      </c>
      <c r="F31" s="3">
        <f t="shared" ref="F31:F38" si="1">D31-E31</f>
        <v>-3.5616131948399072</v>
      </c>
      <c r="G31" s="5" t="s">
        <v>36</v>
      </c>
    </row>
    <row r="32" spans="2:7">
      <c r="B32" s="5">
        <v>2019</v>
      </c>
      <c r="C32">
        <v>6874401</v>
      </c>
      <c r="D32" s="3">
        <v>56.47304869081794</v>
      </c>
      <c r="E32">
        <v>59.62</v>
      </c>
      <c r="F32" s="3">
        <f t="shared" si="1"/>
        <v>-3.1469513091820573</v>
      </c>
      <c r="G32" s="5" t="s">
        <v>36</v>
      </c>
    </row>
    <row r="33" spans="2:7">
      <c r="B33" s="5">
        <v>2020</v>
      </c>
      <c r="C33">
        <v>7099380</v>
      </c>
      <c r="D33" s="3">
        <v>63.229097084635008</v>
      </c>
      <c r="E33">
        <v>59.62</v>
      </c>
      <c r="F33" s="3">
        <f t="shared" si="1"/>
        <v>3.6090970846350103</v>
      </c>
      <c r="G33" s="5" t="s">
        <v>36</v>
      </c>
    </row>
    <row r="34" spans="2:7">
      <c r="B34" s="5">
        <v>2021</v>
      </c>
      <c r="C34">
        <v>7701233</v>
      </c>
      <c r="D34" s="3">
        <v>71.454146565793508</v>
      </c>
      <c r="E34">
        <v>59.62</v>
      </c>
      <c r="F34" s="3">
        <f t="shared" si="1"/>
        <v>11.83414656579351</v>
      </c>
      <c r="G34" s="8" t="s">
        <v>37</v>
      </c>
    </row>
    <row r="35" spans="2:7">
      <c r="B35" s="5">
        <v>2022</v>
      </c>
      <c r="C35">
        <v>8512807</v>
      </c>
      <c r="D35" s="3">
        <v>66.598462372220041</v>
      </c>
      <c r="E35">
        <v>59.62</v>
      </c>
      <c r="F35" s="3">
        <f t="shared" si="1"/>
        <v>6.9784623722200436</v>
      </c>
      <c r="G35" s="8" t="s">
        <v>37</v>
      </c>
    </row>
    <row r="36" spans="2:7">
      <c r="B36" s="5">
        <v>2023</v>
      </c>
      <c r="C36">
        <v>9279834</v>
      </c>
      <c r="D36" s="3">
        <v>72.291418019095104</v>
      </c>
      <c r="E36">
        <v>59.62</v>
      </c>
      <c r="F36" s="3">
        <f t="shared" si="1"/>
        <v>12.671418019095107</v>
      </c>
      <c r="G36" s="8" t="s">
        <v>37</v>
      </c>
    </row>
    <row r="37" spans="2:7">
      <c r="B37" s="5">
        <v>2024</v>
      </c>
      <c r="C37">
        <v>10193824</v>
      </c>
      <c r="D37" s="3">
        <v>51.031548159762053</v>
      </c>
      <c r="E37">
        <v>59.62</v>
      </c>
      <c r="F37" s="3">
        <f t="shared" si="1"/>
        <v>-8.5884518402379442</v>
      </c>
      <c r="G37" s="9" t="s">
        <v>38</v>
      </c>
    </row>
    <row r="38" spans="2:7">
      <c r="B38" s="5">
        <v>2025</v>
      </c>
      <c r="C38">
        <v>10452012</v>
      </c>
      <c r="D38" s="3">
        <v>47.409234209396274</v>
      </c>
      <c r="E38">
        <v>59.62</v>
      </c>
      <c r="F38" s="3">
        <f t="shared" si="1"/>
        <v>-12.210765790603723</v>
      </c>
      <c r="G38" s="9" t="s">
        <v>38</v>
      </c>
    </row>
    <row r="46" spans="2:7">
      <c r="B46" s="5" t="s">
        <v>23</v>
      </c>
      <c r="C46" s="5" t="s">
        <v>30</v>
      </c>
      <c r="D46" s="5" t="s">
        <v>32</v>
      </c>
      <c r="E46" s="5" t="s">
        <v>33</v>
      </c>
      <c r="F46" s="5" t="s">
        <v>34</v>
      </c>
      <c r="G46" s="5" t="s">
        <v>35</v>
      </c>
    </row>
    <row r="47" spans="2:7">
      <c r="B47" s="5">
        <v>2016</v>
      </c>
      <c r="C47" s="12">
        <v>6267801</v>
      </c>
      <c r="D47" s="3">
        <v>75.581196658923915</v>
      </c>
      <c r="E47" s="17">
        <v>67.386314673504415</v>
      </c>
      <c r="F47" s="3">
        <f>D47-E47</f>
        <v>8.1948819854194994</v>
      </c>
      <c r="G47" s="8" t="s">
        <v>37</v>
      </c>
    </row>
    <row r="48" spans="2:7">
      <c r="B48" s="5">
        <v>2017</v>
      </c>
      <c r="C48" s="12">
        <v>6689561</v>
      </c>
      <c r="D48" s="3">
        <v>70.612956177069435</v>
      </c>
      <c r="E48" s="17">
        <v>67.386314673504415</v>
      </c>
      <c r="F48" s="3">
        <f>D48-E48</f>
        <v>3.2266415035650198</v>
      </c>
      <c r="G48" s="5" t="s">
        <v>36</v>
      </c>
    </row>
    <row r="49" spans="2:7">
      <c r="B49" s="5">
        <v>2018</v>
      </c>
      <c r="C49" s="12">
        <v>7094989</v>
      </c>
      <c r="D49" s="3">
        <v>67.049199777140046</v>
      </c>
      <c r="E49" s="17">
        <v>67.386314673504415</v>
      </c>
      <c r="F49" s="3">
        <f t="shared" ref="F49:F56" si="2">D49-E49</f>
        <v>-0.33711489636436909</v>
      </c>
      <c r="G49" s="5" t="s">
        <v>36</v>
      </c>
    </row>
    <row r="50" spans="2:7">
      <c r="B50" s="5">
        <v>2019</v>
      </c>
      <c r="C50" s="12">
        <v>7103034</v>
      </c>
      <c r="D50" s="3">
        <v>66.035738605032918</v>
      </c>
      <c r="E50" s="17">
        <v>67.386314673504415</v>
      </c>
      <c r="F50" s="3">
        <f t="shared" si="2"/>
        <v>-1.3505760684714971</v>
      </c>
      <c r="G50" s="5" t="s">
        <v>36</v>
      </c>
    </row>
    <row r="51" spans="2:7">
      <c r="B51" s="5">
        <v>2020</v>
      </c>
      <c r="C51" s="12">
        <v>6954739</v>
      </c>
      <c r="D51" s="3">
        <v>53.69513079392727</v>
      </c>
      <c r="E51" s="17">
        <v>67.386314673504415</v>
      </c>
      <c r="F51" s="3">
        <f t="shared" si="2"/>
        <v>-13.691183879577146</v>
      </c>
      <c r="G51" s="9" t="s">
        <v>38</v>
      </c>
    </row>
    <row r="52" spans="2:7">
      <c r="B52" s="5">
        <v>2021</v>
      </c>
      <c r="C52" s="12">
        <v>7368884</v>
      </c>
      <c r="D52" s="3">
        <v>67.167971721535196</v>
      </c>
      <c r="E52" s="17">
        <v>67.386314673504415</v>
      </c>
      <c r="F52" s="3">
        <f t="shared" si="2"/>
        <v>-0.21834295196921971</v>
      </c>
      <c r="G52" s="5" t="s">
        <v>36</v>
      </c>
    </row>
    <row r="53" spans="2:7">
      <c r="B53" s="5">
        <v>2022</v>
      </c>
      <c r="C53" s="12">
        <v>7845430</v>
      </c>
      <c r="D53" s="3">
        <v>74.808160994542021</v>
      </c>
      <c r="E53" s="17">
        <v>67.386314673504415</v>
      </c>
      <c r="F53" s="3">
        <f t="shared" si="2"/>
        <v>7.4218463210376058</v>
      </c>
      <c r="G53" s="8" t="s">
        <v>37</v>
      </c>
    </row>
    <row r="54" spans="2:7">
      <c r="B54" s="5">
        <v>2023</v>
      </c>
      <c r="C54" s="12">
        <v>7487936</v>
      </c>
      <c r="D54" s="3">
        <v>74.473987787095538</v>
      </c>
      <c r="E54" s="17">
        <v>67.386314673504415</v>
      </c>
      <c r="F54" s="3">
        <f t="shared" si="2"/>
        <v>7.0876731135911228</v>
      </c>
      <c r="G54" s="8" t="s">
        <v>37</v>
      </c>
    </row>
    <row r="55" spans="2:7">
      <c r="B55" s="5">
        <v>2024</v>
      </c>
      <c r="C55" s="12">
        <v>6887581</v>
      </c>
      <c r="D55" s="3">
        <v>66.429119587692384</v>
      </c>
      <c r="E55" s="17">
        <v>67.386314673504415</v>
      </c>
      <c r="F55" s="3">
        <f t="shared" si="2"/>
        <v>-0.95719508581203172</v>
      </c>
      <c r="G55" s="5" t="s">
        <v>36</v>
      </c>
    </row>
    <row r="56" spans="2:7">
      <c r="B56" s="5">
        <v>2025</v>
      </c>
      <c r="C56" s="12">
        <v>6186321</v>
      </c>
      <c r="D56" s="3">
        <v>56.258053491807622</v>
      </c>
      <c r="E56" s="17">
        <v>67.386314673504415</v>
      </c>
      <c r="F56" s="3">
        <f t="shared" si="2"/>
        <v>-11.128261181696793</v>
      </c>
      <c r="G56" s="9" t="s">
        <v>38</v>
      </c>
    </row>
    <row r="64" spans="2:7">
      <c r="B64" s="5" t="s">
        <v>23</v>
      </c>
      <c r="C64" s="5" t="s">
        <v>30</v>
      </c>
      <c r="D64" s="5" t="s">
        <v>32</v>
      </c>
      <c r="E64" s="5" t="s">
        <v>33</v>
      </c>
      <c r="F64" s="5" t="s">
        <v>34</v>
      </c>
      <c r="G64" s="5" t="s">
        <v>35</v>
      </c>
    </row>
    <row r="65" spans="2:7">
      <c r="B65" s="5">
        <v>2016</v>
      </c>
      <c r="C65" s="12">
        <v>1425900</v>
      </c>
      <c r="D65" s="3">
        <v>82.396661757486498</v>
      </c>
      <c r="E65" s="17">
        <v>72.639307308130952</v>
      </c>
      <c r="F65" s="3">
        <f>D65-E65</f>
        <v>9.757354449355546</v>
      </c>
      <c r="G65" s="8" t="s">
        <v>37</v>
      </c>
    </row>
    <row r="66" spans="2:7">
      <c r="B66" s="5">
        <v>2017</v>
      </c>
      <c r="C66" s="12">
        <v>1515575</v>
      </c>
      <c r="D66" s="3">
        <v>80.515849168998514</v>
      </c>
      <c r="E66" s="17">
        <v>72.639307308130952</v>
      </c>
      <c r="F66" s="3">
        <f>D66-E66</f>
        <v>7.8765418608675617</v>
      </c>
      <c r="G66" s="8" t="s">
        <v>37</v>
      </c>
    </row>
    <row r="67" spans="2:7">
      <c r="B67" s="5">
        <v>2018</v>
      </c>
      <c r="C67" s="12">
        <v>1511812</v>
      </c>
      <c r="D67" s="3">
        <v>80.613182099120834</v>
      </c>
      <c r="E67" s="17">
        <v>72.639307308130952</v>
      </c>
      <c r="F67" s="3">
        <f t="shared" ref="F67:F74" si="3">D67-E67</f>
        <v>7.9738747909898819</v>
      </c>
      <c r="G67" s="8" t="s">
        <v>37</v>
      </c>
    </row>
    <row r="68" spans="2:7">
      <c r="B68" s="5">
        <v>2019</v>
      </c>
      <c r="C68" s="12">
        <v>1548861</v>
      </c>
      <c r="D68" s="3">
        <v>77.043812077491523</v>
      </c>
      <c r="E68" s="17">
        <v>72.639307308130952</v>
      </c>
      <c r="F68" s="3">
        <f t="shared" si="3"/>
        <v>4.404504769360571</v>
      </c>
      <c r="G68" s="5" t="s">
        <v>36</v>
      </c>
    </row>
    <row r="69" spans="2:7">
      <c r="B69" s="5">
        <v>2020</v>
      </c>
      <c r="C69" s="12">
        <v>1506500</v>
      </c>
      <c r="D69" s="3">
        <v>60.337463073696583</v>
      </c>
      <c r="E69" s="17">
        <v>72.639307308130952</v>
      </c>
      <c r="F69" s="3">
        <f t="shared" si="3"/>
        <v>-12.30184423443437</v>
      </c>
      <c r="G69" s="9" t="s">
        <v>38</v>
      </c>
    </row>
    <row r="70" spans="2:7">
      <c r="B70" s="5">
        <v>2021</v>
      </c>
      <c r="C70" s="12">
        <v>1534073</v>
      </c>
      <c r="D70" s="3">
        <v>69.038167549434334</v>
      </c>
      <c r="E70" s="17">
        <v>72.639307308130952</v>
      </c>
      <c r="F70" s="3">
        <f t="shared" si="3"/>
        <v>-3.6011397586966183</v>
      </c>
      <c r="G70" s="5" t="s">
        <v>36</v>
      </c>
    </row>
    <row r="71" spans="2:7">
      <c r="B71" s="5">
        <v>2022</v>
      </c>
      <c r="C71" s="12">
        <v>1678505</v>
      </c>
      <c r="D71" s="3">
        <v>78.885073461966044</v>
      </c>
      <c r="E71" s="17">
        <v>72.639307308130952</v>
      </c>
      <c r="F71" s="3">
        <f t="shared" si="3"/>
        <v>6.2457661538350919</v>
      </c>
      <c r="G71" s="8" t="s">
        <v>37</v>
      </c>
    </row>
    <row r="72" spans="2:7">
      <c r="B72" s="5">
        <v>2023</v>
      </c>
      <c r="C72" s="12">
        <v>1803043</v>
      </c>
      <c r="D72" s="3">
        <v>74.138944368186458</v>
      </c>
      <c r="E72" s="17">
        <v>72.639307308130952</v>
      </c>
      <c r="F72" s="3">
        <f t="shared" si="3"/>
        <v>1.4996370600555053</v>
      </c>
      <c r="G72" s="5" t="s">
        <v>36</v>
      </c>
    </row>
    <row r="73" spans="2:7">
      <c r="B73" s="5">
        <v>2024</v>
      </c>
      <c r="C73" s="12">
        <v>1779728</v>
      </c>
      <c r="D73" s="3">
        <v>69.699137470853728</v>
      </c>
      <c r="E73" s="17">
        <v>72.639307308130952</v>
      </c>
      <c r="F73" s="3">
        <f t="shared" si="3"/>
        <v>-2.9401698372772245</v>
      </c>
      <c r="G73" s="5" t="s">
        <v>36</v>
      </c>
    </row>
    <row r="74" spans="2:7">
      <c r="B74" s="5">
        <v>2025</v>
      </c>
      <c r="C74" s="12">
        <v>1787766</v>
      </c>
      <c r="D74" s="3">
        <v>56.627656721558829</v>
      </c>
      <c r="E74" s="17">
        <v>72.639307308130952</v>
      </c>
      <c r="F74" s="3">
        <f t="shared" si="3"/>
        <v>-16.011650586572124</v>
      </c>
      <c r="G74" s="9" t="s">
        <v>38</v>
      </c>
    </row>
    <row r="75" spans="2:7">
      <c r="C75" s="7"/>
      <c r="D75" s="6"/>
    </row>
    <row r="82" spans="2:7">
      <c r="B82" s="5" t="s">
        <v>23</v>
      </c>
      <c r="C82" s="5" t="s">
        <v>30</v>
      </c>
      <c r="D82" s="5" t="s">
        <v>32</v>
      </c>
      <c r="E82" s="5" t="s">
        <v>33</v>
      </c>
      <c r="F82" s="5" t="s">
        <v>34</v>
      </c>
      <c r="G82" s="5" t="s">
        <v>35</v>
      </c>
    </row>
    <row r="83" spans="2:7">
      <c r="B83" s="5">
        <v>2016</v>
      </c>
      <c r="C83" s="12">
        <v>2057095</v>
      </c>
      <c r="D83" s="3">
        <v>42.879448931624452</v>
      </c>
      <c r="E83" s="17">
        <v>44.289759715528227</v>
      </c>
      <c r="F83" s="3">
        <f>D83-E83</f>
        <v>-1.4103107839037747</v>
      </c>
      <c r="G83" s="5" t="s">
        <v>45</v>
      </c>
    </row>
    <row r="84" spans="2:7">
      <c r="B84" s="5">
        <v>2017</v>
      </c>
      <c r="C84" s="12">
        <v>2148397</v>
      </c>
      <c r="D84" s="3">
        <v>42.003179901762259</v>
      </c>
      <c r="E84" s="17">
        <v>44.289759715528227</v>
      </c>
      <c r="F84" s="3">
        <f>D84-E84</f>
        <v>-2.2865798137659681</v>
      </c>
      <c r="G84" s="5" t="s">
        <v>45</v>
      </c>
    </row>
    <row r="85" spans="2:7">
      <c r="B85" s="5">
        <v>2018</v>
      </c>
      <c r="C85" s="12">
        <v>2057699</v>
      </c>
      <c r="D85" s="3">
        <v>47.396124151500111</v>
      </c>
      <c r="E85" s="17">
        <v>44.289759715528227</v>
      </c>
      <c r="F85" s="3">
        <f t="shared" ref="F85:F92" si="4">D85-E85</f>
        <v>3.1063644359718836</v>
      </c>
      <c r="G85" s="5" t="s">
        <v>45</v>
      </c>
    </row>
    <row r="86" spans="2:7">
      <c r="B86" s="5">
        <v>2019</v>
      </c>
      <c r="C86" s="12">
        <v>2147808</v>
      </c>
      <c r="D86" s="3">
        <v>50.723431614051051</v>
      </c>
      <c r="E86" s="17">
        <v>44.289759715528227</v>
      </c>
      <c r="F86" s="3">
        <f t="shared" si="4"/>
        <v>6.4336718985228245</v>
      </c>
      <c r="G86" s="8" t="s">
        <v>37</v>
      </c>
    </row>
    <row r="87" spans="2:7">
      <c r="B87" s="5">
        <v>2020</v>
      </c>
      <c r="C87" s="12">
        <v>1815054</v>
      </c>
      <c r="D87" s="3">
        <v>47.01935920656296</v>
      </c>
      <c r="E87" s="17">
        <v>44.289759715528227</v>
      </c>
      <c r="F87" s="3">
        <f t="shared" si="4"/>
        <v>2.7295994910347332</v>
      </c>
      <c r="G87" s="5" t="s">
        <v>45</v>
      </c>
    </row>
    <row r="88" spans="2:7">
      <c r="B88" s="5">
        <v>2021</v>
      </c>
      <c r="C88" s="12">
        <v>1630463</v>
      </c>
      <c r="D88" s="3">
        <v>49.25179405381455</v>
      </c>
      <c r="E88" s="17">
        <v>44.289759715528227</v>
      </c>
      <c r="F88" s="3">
        <f t="shared" si="4"/>
        <v>4.9620343382863226</v>
      </c>
      <c r="G88" s="5" t="s">
        <v>45</v>
      </c>
    </row>
    <row r="89" spans="2:7">
      <c r="B89" s="5">
        <v>2022</v>
      </c>
      <c r="C89" s="12">
        <v>1883543</v>
      </c>
      <c r="D89" s="3">
        <v>45.399849356896901</v>
      </c>
      <c r="E89" s="17">
        <v>44.289759715528227</v>
      </c>
      <c r="F89" s="3">
        <f t="shared" si="4"/>
        <v>1.1100896413686741</v>
      </c>
      <c r="G89" s="5" t="s">
        <v>45</v>
      </c>
    </row>
    <row r="90" spans="2:7">
      <c r="B90" s="5">
        <v>2023</v>
      </c>
      <c r="C90" s="12">
        <v>1761078</v>
      </c>
      <c r="D90" s="3">
        <v>40.141058750651524</v>
      </c>
      <c r="E90" s="17">
        <v>44.289759715528227</v>
      </c>
      <c r="F90" s="3">
        <f t="shared" si="4"/>
        <v>-4.1487009648767028</v>
      </c>
      <c r="G90" s="5" t="s">
        <v>45</v>
      </c>
    </row>
    <row r="91" spans="2:7">
      <c r="B91" s="5">
        <v>2024</v>
      </c>
      <c r="C91" s="12">
        <v>1532679</v>
      </c>
      <c r="D91" s="3">
        <v>36.525937239960754</v>
      </c>
      <c r="E91" s="17">
        <v>44.289759715528227</v>
      </c>
      <c r="F91" s="3">
        <f t="shared" si="4"/>
        <v>-7.7638224755674727</v>
      </c>
      <c r="G91" s="9" t="s">
        <v>38</v>
      </c>
    </row>
    <row r="92" spans="2:7">
      <c r="B92" s="5">
        <v>2025</v>
      </c>
      <c r="C92" s="12">
        <v>1341793</v>
      </c>
      <c r="D92" s="3">
        <v>38.084121239390413</v>
      </c>
      <c r="E92" s="17">
        <v>44.289759715528227</v>
      </c>
      <c r="F92" s="3">
        <f t="shared" si="4"/>
        <v>-6.2056384761378141</v>
      </c>
      <c r="G92" s="9" t="s">
        <v>38</v>
      </c>
    </row>
    <row r="100" spans="2:7">
      <c r="B100" s="5" t="s">
        <v>23</v>
      </c>
      <c r="C100" s="5" t="s">
        <v>30</v>
      </c>
      <c r="D100" s="5" t="s">
        <v>32</v>
      </c>
      <c r="E100" s="5" t="s">
        <v>33</v>
      </c>
      <c r="F100" s="5" t="s">
        <v>34</v>
      </c>
      <c r="G100" s="5" t="s">
        <v>35</v>
      </c>
    </row>
    <row r="101" spans="2:7">
      <c r="B101" s="5">
        <v>2016</v>
      </c>
      <c r="C101" s="12">
        <v>2446198</v>
      </c>
      <c r="D101" s="3">
        <v>54.1530979912501</v>
      </c>
      <c r="E101" s="3">
        <v>57.90585972159721</v>
      </c>
      <c r="F101" s="3">
        <f>D101-E101</f>
        <v>-3.7527617303471104</v>
      </c>
      <c r="G101" s="5" t="s">
        <v>36</v>
      </c>
    </row>
    <row r="102" spans="2:7">
      <c r="B102" s="5">
        <v>2017</v>
      </c>
      <c r="C102" s="12">
        <v>2467697</v>
      </c>
      <c r="D102" s="3">
        <v>78.262864066203591</v>
      </c>
      <c r="E102" s="3">
        <v>57.90585972159721</v>
      </c>
      <c r="F102" s="3">
        <f>D102-E102</f>
        <v>20.357004344606381</v>
      </c>
      <c r="G102" s="8" t="s">
        <v>37</v>
      </c>
    </row>
    <row r="103" spans="2:7">
      <c r="B103" s="5">
        <v>2018</v>
      </c>
      <c r="C103" s="12">
        <v>2389467</v>
      </c>
      <c r="D103" s="3">
        <v>71.196375216586887</v>
      </c>
      <c r="E103" s="3">
        <v>57.90585972159721</v>
      </c>
      <c r="F103" s="3">
        <f t="shared" ref="F103:F110" si="5">D103-E103</f>
        <v>13.290515494989677</v>
      </c>
      <c r="G103" s="8" t="s">
        <v>37</v>
      </c>
    </row>
    <row r="104" spans="2:7">
      <c r="B104" s="5">
        <v>2019</v>
      </c>
      <c r="C104" s="12">
        <v>2426825</v>
      </c>
      <c r="D104" s="3">
        <v>63.099366778131383</v>
      </c>
      <c r="E104" s="3">
        <v>57.90585972159721</v>
      </c>
      <c r="F104" s="3">
        <f t="shared" si="5"/>
        <v>5.1935070565341732</v>
      </c>
      <c r="G104" s="5" t="s">
        <v>36</v>
      </c>
    </row>
    <row r="105" spans="2:7">
      <c r="B105" s="5">
        <v>2020</v>
      </c>
      <c r="C105" s="12">
        <v>2512292</v>
      </c>
      <c r="D105" s="3">
        <v>58.239478068302716</v>
      </c>
      <c r="E105" s="3">
        <v>57.90585972159721</v>
      </c>
      <c r="F105" s="3">
        <f t="shared" si="5"/>
        <v>0.3336183467055065</v>
      </c>
      <c r="G105" s="5" t="s">
        <v>36</v>
      </c>
    </row>
    <row r="106" spans="2:7">
      <c r="B106" s="5">
        <v>2021</v>
      </c>
      <c r="C106" s="12">
        <v>2513684</v>
      </c>
      <c r="D106" s="3">
        <v>58.128446669085797</v>
      </c>
      <c r="E106" s="3">
        <v>57.90585972159721</v>
      </c>
      <c r="F106" s="3">
        <f t="shared" si="5"/>
        <v>0.22258694748858687</v>
      </c>
      <c r="G106" s="5" t="s">
        <v>36</v>
      </c>
    </row>
    <row r="107" spans="2:7">
      <c r="B107" s="5">
        <v>2022</v>
      </c>
      <c r="C107" s="12">
        <v>2587529</v>
      </c>
      <c r="D107" s="3">
        <v>62.613158671295501</v>
      </c>
      <c r="E107" s="3">
        <v>57.90585972159721</v>
      </c>
      <c r="F107" s="3">
        <f t="shared" si="5"/>
        <v>4.7072989496982913</v>
      </c>
      <c r="G107" s="5" t="s">
        <v>36</v>
      </c>
    </row>
    <row r="108" spans="2:7">
      <c r="B108" s="5">
        <v>2023</v>
      </c>
      <c r="C108" s="12">
        <v>2648532</v>
      </c>
      <c r="D108" s="3">
        <v>50.513389767157044</v>
      </c>
      <c r="E108" s="3">
        <v>57.90585972159721</v>
      </c>
      <c r="F108" s="3">
        <f t="shared" si="5"/>
        <v>-7.3924699544401662</v>
      </c>
      <c r="G108" s="9" t="s">
        <v>38</v>
      </c>
    </row>
    <row r="109" spans="2:7">
      <c r="B109" s="5">
        <v>2024</v>
      </c>
      <c r="C109" s="12">
        <v>2323340</v>
      </c>
      <c r="D109" s="3">
        <v>45.280751332685917</v>
      </c>
      <c r="E109" s="3">
        <v>57.90585972159721</v>
      </c>
      <c r="F109" s="3">
        <f t="shared" si="5"/>
        <v>-12.625108388911293</v>
      </c>
      <c r="G109" s="9" t="s">
        <v>38</v>
      </c>
    </row>
    <row r="110" spans="2:7">
      <c r="B110" s="5">
        <v>2025</v>
      </c>
      <c r="C110" s="12">
        <v>2167733</v>
      </c>
      <c r="D110" s="3">
        <v>34.802358875321374</v>
      </c>
      <c r="E110" s="3">
        <v>57.90585972159721</v>
      </c>
      <c r="F110" s="3">
        <f t="shared" si="5"/>
        <v>-23.103500846275836</v>
      </c>
      <c r="G110" s="9" t="s">
        <v>38</v>
      </c>
    </row>
    <row r="111" spans="2:7">
      <c r="D1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Loss Development Triangles</vt:lpstr>
      <vt:lpstr>year to ultimate LDF</vt:lpstr>
      <vt:lpstr>loss reserve and loss ratio</vt:lpstr>
      <vt:lpstr>rate adequacy verdict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 Kandel</dc:creator>
  <cp:lastModifiedBy>Pushkar  Kandel</cp:lastModifiedBy>
  <dcterms:created xsi:type="dcterms:W3CDTF">2026-07-20T22:15:01Z</dcterms:created>
  <dcterms:modified xsi:type="dcterms:W3CDTF">2026-07-26T01:03:58Z</dcterms:modified>
</cp:coreProperties>
</file>