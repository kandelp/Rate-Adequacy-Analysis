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kandel/Documents/Jobs/"/>
    </mc:Choice>
  </mc:AlternateContent>
  <xr:revisionPtr revIDLastSave="0" documentId="13_ncr:1_{3BB60592-97D7-894B-92F1-6916038666EC}" xr6:coauthVersionLast="47" xr6:coauthVersionMax="47" xr10:uidLastSave="{00000000-0000-0000-0000-000000000000}"/>
  <bookViews>
    <workbookView xWindow="0" yWindow="0" windowWidth="33600" windowHeight="21000" activeTab="3" xr2:uid="{A13727E7-A061-9F46-9A72-659A404B9B68}"/>
  </bookViews>
  <sheets>
    <sheet name="Loss development triangles" sheetId="1" r:id="rId1"/>
    <sheet name="year to ultimate LDF" sheetId="2" r:id="rId2"/>
    <sheet name="loss reserve and loss ratio" sheetId="3" r:id="rId3"/>
    <sheet name="rate adequacy verdict" sheetId="4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0" i="4" l="1"/>
  <c r="F109" i="4"/>
  <c r="F108" i="4"/>
  <c r="F107" i="4"/>
  <c r="F106" i="4"/>
  <c r="F105" i="4"/>
  <c r="F104" i="4"/>
  <c r="F103" i="4"/>
  <c r="F102" i="4"/>
  <c r="F101" i="4"/>
  <c r="F74" i="4"/>
  <c r="F73" i="4"/>
  <c r="F72" i="4"/>
  <c r="F71" i="4"/>
  <c r="F70" i="4"/>
  <c r="F69" i="4"/>
  <c r="F68" i="4"/>
  <c r="F67" i="4"/>
  <c r="F66" i="4"/>
  <c r="F65" i="4"/>
  <c r="F56" i="4"/>
  <c r="F55" i="4"/>
  <c r="F54" i="4"/>
  <c r="F53" i="4"/>
  <c r="F52" i="4"/>
  <c r="F51" i="4"/>
  <c r="F50" i="4"/>
  <c r="F49" i="4"/>
  <c r="F48" i="4"/>
  <c r="F47" i="4"/>
  <c r="F38" i="4"/>
  <c r="F37" i="4"/>
  <c r="F36" i="4"/>
  <c r="F35" i="4"/>
  <c r="F34" i="4"/>
  <c r="F33" i="4"/>
  <c r="F32" i="4"/>
  <c r="F31" i="4"/>
  <c r="F30" i="4"/>
  <c r="F29" i="4"/>
  <c r="F18" i="4"/>
  <c r="F17" i="4"/>
  <c r="F16" i="4"/>
  <c r="F15" i="4"/>
  <c r="F14" i="4"/>
  <c r="F13" i="4"/>
  <c r="F12" i="4"/>
  <c r="F11" i="4"/>
  <c r="F10" i="4"/>
  <c r="F9" i="4"/>
  <c r="G110" i="3"/>
  <c r="H110" i="3" s="1"/>
  <c r="G109" i="3"/>
  <c r="H109" i="3" s="1"/>
  <c r="G108" i="3"/>
  <c r="J108" i="3" s="1"/>
  <c r="G107" i="3"/>
  <c r="H107" i="3" s="1"/>
  <c r="G106" i="3"/>
  <c r="H106" i="3" s="1"/>
  <c r="G105" i="3"/>
  <c r="J105" i="3" s="1"/>
  <c r="G104" i="3"/>
  <c r="J104" i="3" s="1"/>
  <c r="G103" i="3"/>
  <c r="J103" i="3" s="1"/>
  <c r="G102" i="3"/>
  <c r="H102" i="3" s="1"/>
  <c r="G101" i="3"/>
  <c r="J101" i="3" s="1"/>
  <c r="G74" i="3"/>
  <c r="J74" i="3" s="1"/>
  <c r="G73" i="3"/>
  <c r="H73" i="3" s="1"/>
  <c r="G72" i="3"/>
  <c r="J72" i="3" s="1"/>
  <c r="G71" i="3"/>
  <c r="H71" i="3" s="1"/>
  <c r="G70" i="3"/>
  <c r="H70" i="3" s="1"/>
  <c r="G69" i="3"/>
  <c r="J69" i="3" s="1"/>
  <c r="G68" i="3"/>
  <c r="J68" i="3" s="1"/>
  <c r="G67" i="3"/>
  <c r="J67" i="3" s="1"/>
  <c r="G66" i="3"/>
  <c r="J66" i="3" s="1"/>
  <c r="G65" i="3"/>
  <c r="H65" i="3" s="1"/>
  <c r="J56" i="3"/>
  <c r="G56" i="3"/>
  <c r="H56" i="3" s="1"/>
  <c r="G55" i="3"/>
  <c r="H55" i="3" s="1"/>
  <c r="G54" i="3"/>
  <c r="H54" i="3" s="1"/>
  <c r="G53" i="3"/>
  <c r="H53" i="3" s="1"/>
  <c r="G52" i="3"/>
  <c r="J52" i="3" s="1"/>
  <c r="G51" i="3"/>
  <c r="H51" i="3" s="1"/>
  <c r="G50" i="3"/>
  <c r="J50" i="3" s="1"/>
  <c r="G49" i="3"/>
  <c r="H49" i="3" s="1"/>
  <c r="G48" i="3"/>
  <c r="J48" i="3" s="1"/>
  <c r="G47" i="3"/>
  <c r="J47" i="3" s="1"/>
  <c r="G38" i="3"/>
  <c r="J38" i="3" s="1"/>
  <c r="G37" i="3"/>
  <c r="J37" i="3" s="1"/>
  <c r="G36" i="3"/>
  <c r="J36" i="3" s="1"/>
  <c r="G35" i="3"/>
  <c r="J35" i="3" s="1"/>
  <c r="G34" i="3"/>
  <c r="J34" i="3" s="1"/>
  <c r="G33" i="3"/>
  <c r="J33" i="3" s="1"/>
  <c r="G32" i="3"/>
  <c r="H32" i="3" s="1"/>
  <c r="G31" i="3"/>
  <c r="H31" i="3" s="1"/>
  <c r="G30" i="3"/>
  <c r="J30" i="3" s="1"/>
  <c r="G29" i="3"/>
  <c r="J29" i="3" s="1"/>
  <c r="I111" i="3"/>
  <c r="I75" i="3"/>
  <c r="I57" i="3"/>
  <c r="I39" i="3"/>
  <c r="J18" i="3"/>
  <c r="J17" i="3"/>
  <c r="J11" i="3"/>
  <c r="J10" i="3"/>
  <c r="J9" i="3"/>
  <c r="I19" i="3"/>
  <c r="H18" i="3"/>
  <c r="H14" i="3"/>
  <c r="H13" i="3"/>
  <c r="H11" i="3"/>
  <c r="H10" i="3"/>
  <c r="G18" i="3"/>
  <c r="G17" i="3"/>
  <c r="H17" i="3" s="1"/>
  <c r="G16" i="3"/>
  <c r="H16" i="3" s="1"/>
  <c r="G15" i="3"/>
  <c r="H15" i="3" s="1"/>
  <c r="G14" i="3"/>
  <c r="J14" i="3" s="1"/>
  <c r="G13" i="3"/>
  <c r="J13" i="3" s="1"/>
  <c r="G12" i="3"/>
  <c r="J12" i="3" s="1"/>
  <c r="G11" i="3"/>
  <c r="G10" i="3"/>
  <c r="G9" i="3"/>
  <c r="D109" i="2"/>
  <c r="F109" i="2" s="1"/>
  <c r="D108" i="2"/>
  <c r="F108" i="2" s="1"/>
  <c r="D107" i="2"/>
  <c r="D106" i="2"/>
  <c r="D105" i="2"/>
  <c r="D104" i="2"/>
  <c r="F104" i="2" s="1"/>
  <c r="F103" i="2"/>
  <c r="D103" i="2"/>
  <c r="D102" i="2"/>
  <c r="D101" i="2"/>
  <c r="D73" i="2"/>
  <c r="F73" i="2" s="1"/>
  <c r="D72" i="2"/>
  <c r="F72" i="2" s="1"/>
  <c r="D71" i="2"/>
  <c r="F71" i="2" s="1"/>
  <c r="D70" i="2"/>
  <c r="D69" i="2"/>
  <c r="D68" i="2"/>
  <c r="D67" i="2"/>
  <c r="D66" i="2"/>
  <c r="D65" i="2"/>
  <c r="D55" i="2"/>
  <c r="F55" i="2" s="1"/>
  <c r="D54" i="2"/>
  <c r="F54" i="2" s="1"/>
  <c r="D53" i="2"/>
  <c r="D52" i="2"/>
  <c r="D51" i="2"/>
  <c r="D50" i="2"/>
  <c r="D49" i="2"/>
  <c r="D48" i="2"/>
  <c r="D47" i="2"/>
  <c r="F37" i="2"/>
  <c r="D37" i="2"/>
  <c r="D36" i="2"/>
  <c r="F36" i="2" s="1"/>
  <c r="D35" i="2"/>
  <c r="F35" i="2" s="1"/>
  <c r="D34" i="2"/>
  <c r="F34" i="2" s="1"/>
  <c r="D33" i="2"/>
  <c r="D32" i="2"/>
  <c r="F32" i="2" s="1"/>
  <c r="D31" i="2"/>
  <c r="F31" i="2" s="1"/>
  <c r="D30" i="2"/>
  <c r="F30" i="2" s="1"/>
  <c r="D29" i="2"/>
  <c r="D17" i="2"/>
  <c r="F17" i="2" s="1"/>
  <c r="D16" i="2"/>
  <c r="F16" i="2" s="1"/>
  <c r="D15" i="2"/>
  <c r="F15" i="2" s="1"/>
  <c r="D14" i="2"/>
  <c r="D13" i="2"/>
  <c r="F13" i="2" s="1"/>
  <c r="D12" i="2"/>
  <c r="F12" i="2" s="1"/>
  <c r="D11" i="2"/>
  <c r="D10" i="2"/>
  <c r="F10" i="2" s="1"/>
  <c r="D9" i="2"/>
  <c r="F9" i="2" s="1"/>
  <c r="J55" i="3" l="1"/>
  <c r="J73" i="3"/>
  <c r="H72" i="3"/>
  <c r="H67" i="3"/>
  <c r="J65" i="3"/>
  <c r="J54" i="3"/>
  <c r="J51" i="3"/>
  <c r="H48" i="3"/>
  <c r="H35" i="3"/>
  <c r="H34" i="3"/>
  <c r="H68" i="3"/>
  <c r="J70" i="3"/>
  <c r="J71" i="3"/>
  <c r="J49" i="3"/>
  <c r="H52" i="3"/>
  <c r="H37" i="3"/>
  <c r="H38" i="3"/>
  <c r="J32" i="3"/>
  <c r="H29" i="3"/>
  <c r="H30" i="3"/>
  <c r="J102" i="3"/>
  <c r="J109" i="3"/>
  <c r="J110" i="3"/>
  <c r="H103" i="3"/>
  <c r="H108" i="3"/>
  <c r="H101" i="3"/>
  <c r="F105" i="2"/>
  <c r="F101" i="2"/>
  <c r="F102" i="2"/>
  <c r="F49" i="2"/>
  <c r="J15" i="3"/>
  <c r="J16" i="3"/>
  <c r="G39" i="3"/>
  <c r="J39" i="3" s="1"/>
  <c r="J31" i="3"/>
  <c r="J107" i="3"/>
  <c r="F14" i="2"/>
  <c r="F11" i="2"/>
  <c r="F29" i="2"/>
  <c r="F33" i="2"/>
  <c r="F107" i="2"/>
  <c r="G111" i="3"/>
  <c r="J111" i="3" s="1"/>
  <c r="J106" i="3"/>
  <c r="F47" i="2"/>
  <c r="F65" i="2"/>
  <c r="H12" i="3"/>
  <c r="H36" i="3"/>
  <c r="H50" i="3"/>
  <c r="J53" i="3"/>
  <c r="H66" i="3"/>
  <c r="H74" i="3"/>
  <c r="H104" i="3"/>
  <c r="H105" i="3"/>
  <c r="F106" i="2"/>
  <c r="F67" i="2"/>
  <c r="F68" i="2"/>
  <c r="G19" i="3"/>
  <c r="J19" i="3" s="1"/>
  <c r="G57" i="3"/>
  <c r="J57" i="3" s="1"/>
  <c r="H69" i="3"/>
  <c r="F51" i="2"/>
  <c r="F69" i="2"/>
  <c r="F53" i="2"/>
  <c r="H9" i="3"/>
  <c r="H19" i="3" s="1"/>
  <c r="H33" i="3"/>
  <c r="H47" i="3"/>
  <c r="G75" i="3"/>
  <c r="J75" i="3" s="1"/>
  <c r="F66" i="2"/>
  <c r="F70" i="2"/>
  <c r="F52" i="2"/>
  <c r="F50" i="2"/>
  <c r="F48" i="2"/>
  <c r="H57" i="3" l="1"/>
  <c r="H39" i="3"/>
  <c r="H75" i="3"/>
  <c r="H111" i="3"/>
</calcChain>
</file>

<file path=xl/sharedStrings.xml><?xml version="1.0" encoding="utf-8"?>
<sst xmlns="http://schemas.openxmlformats.org/spreadsheetml/2006/main" count="267" uniqueCount="46">
  <si>
    <t>Combined Cumulative Net Losses Across All Business</t>
  </si>
  <si>
    <t>Years in which losses where incurred</t>
  </si>
  <si>
    <t>Cumulative Net losses For Homeowners and Farmowners</t>
  </si>
  <si>
    <t>Cumulative Net losses For PRIVATE PASSENGER AUTO LIABILITY/MEDICAL</t>
  </si>
  <si>
    <t>Cumulative Net losses For COMMERCIAL AUTO/TRUCK LIABILITY/MEDICAL</t>
  </si>
  <si>
    <t>Cumulative Net losses For WORKERS' COMPENSATION</t>
  </si>
  <si>
    <t>Not much Information so excluded</t>
  </si>
  <si>
    <t>Cumulative Net losses For COMMERCIAL MULTIPLE PERIL</t>
  </si>
  <si>
    <t>Volume weighted loss development factor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</si>
  <si>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</si>
  <si>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</si>
  <si>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</si>
  <si>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</si>
  <si>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</si>
  <si>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</si>
  <si>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</si>
  <si>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</si>
  <si>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</si>
  <si>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</si>
  <si>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Year to ultimate loss development factor</t>
  </si>
  <si>
    <t>1 to ultimate</t>
  </si>
  <si>
    <t>2 to ultimate</t>
  </si>
  <si>
    <t>3 to ultimate</t>
  </si>
  <si>
    <t>4 to ultimate</t>
  </si>
  <si>
    <t>5 to ultimate</t>
  </si>
  <si>
    <t>6 to ultimate</t>
  </si>
  <si>
    <t>7 to ultimate</t>
  </si>
  <si>
    <t>8 to ultimate</t>
  </si>
  <si>
    <t>9 to ultimate</t>
  </si>
  <si>
    <t>10 to ultimate</t>
  </si>
  <si>
    <t>Accident Year</t>
  </si>
  <si>
    <t>Cumulative paid loss to date</t>
  </si>
  <si>
    <t>Age at latest evaluation</t>
  </si>
  <si>
    <t>Ultimate Loss development Factor</t>
  </si>
  <si>
    <t>Expected Loss(Chain Ladder Method)</t>
  </si>
  <si>
    <t>Loss Reserves(Chain Ladder Method)</t>
  </si>
  <si>
    <t>Earned Premiums</t>
  </si>
  <si>
    <t>Expected Loss Ratio</t>
  </si>
  <si>
    <t>Total</t>
  </si>
  <si>
    <t>Indicative Loss Ratio(Percentage)</t>
  </si>
  <si>
    <t>Target Loss Ratio%(Average )</t>
  </si>
  <si>
    <t>Difference(Points)</t>
  </si>
  <si>
    <t>Rate Adequacy  Verdict</t>
  </si>
  <si>
    <t>Roughly Adequate</t>
  </si>
  <si>
    <t>Overcharged</t>
  </si>
  <si>
    <t>Undercharged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</si>
</sst>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3" fontId="0" fillId="0" borderId="0" xfId="0" applyNumberFormat="1"/>
    <xf numFmtId="3" fontId="2" fillId="0" borderId="0" xfId="0" applyNumberFormat="1" applyFont="1" applyAlignment="1">
      <alignment horizontal="right"/>
    </xf>
    <xf numFmtId="0" fontId="3" fillId="2" borderId="0" xfId="0" applyFont="1" applyFill="1"/>
    <xf numFmtId="0" fontId="4" fillId="0" borderId="0" xfId="0" applyFont="1"/>
    <xf numFmtId="2" fontId="0" fillId="0" borderId="0" xfId="0" applyNumberFormat="1"/>
    <xf numFmtId="2" fontId="1" fillId="0" borderId="0" xfId="0" applyNumberFormat="1" applyFont="1"/>
    <xf numFmtId="3" fontId="1" fillId="0" borderId="0" xfId="0" applyNumberFormat="1" applyFon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DC08-F803-3D44-A486-FB809BEC45E6}">
  <dimension ref="B6:R137"/>
  <sheetViews>
    <sheetView topLeftCell="A47" zoomScale="136" zoomScaleNormal="136" workbookViewId="0">
      <selection activeCell="C110" sqref="C110"/>
    </sheetView>
  </sheetViews>
  <sheetFormatPr baseColWidth="10" defaultRowHeight="16" x14ac:dyDescent="0.2"/>
  <cols>
    <col min="2" max="2" width="50.83203125" bestFit="1" customWidth="1"/>
  </cols>
  <sheetData>
    <row r="6" spans="2:14" x14ac:dyDescent="0.2">
      <c r="B6" s="1" t="s">
        <v>0</v>
      </c>
    </row>
    <row r="8" spans="2:14" x14ac:dyDescent="0.2">
      <c r="B8" s="2" t="s">
        <v>1</v>
      </c>
      <c r="C8" s="2">
        <v>0</v>
      </c>
      <c r="D8" s="2">
        <v>1</v>
      </c>
      <c r="E8" s="2">
        <v>2</v>
      </c>
      <c r="F8" s="2">
        <v>3</v>
      </c>
      <c r="G8" s="2">
        <v>4</v>
      </c>
      <c r="H8" s="2">
        <v>5</v>
      </c>
      <c r="I8" s="2">
        <v>6</v>
      </c>
      <c r="J8" s="2">
        <v>7</v>
      </c>
      <c r="K8" s="2">
        <v>8</v>
      </c>
      <c r="L8" s="2">
        <v>9</v>
      </c>
    </row>
    <row r="9" spans="2:14" x14ac:dyDescent="0.2">
      <c r="B9" s="2">
        <v>2016</v>
      </c>
      <c r="C9" s="4">
        <v>11280638</v>
      </c>
      <c r="D9" s="4">
        <v>14471185</v>
      </c>
      <c r="E9" s="4">
        <v>15708265</v>
      </c>
      <c r="F9" s="4">
        <v>16621517</v>
      </c>
      <c r="G9" s="4">
        <v>17081334</v>
      </c>
      <c r="H9" s="4">
        <v>17315214</v>
      </c>
      <c r="I9" s="4">
        <v>17520116</v>
      </c>
      <c r="J9" s="4">
        <v>17638848</v>
      </c>
      <c r="K9" s="4">
        <v>17686048</v>
      </c>
      <c r="L9" s="4">
        <v>17714740</v>
      </c>
    </row>
    <row r="10" spans="2:14" x14ac:dyDescent="0.2">
      <c r="B10" s="2">
        <v>2017</v>
      </c>
      <c r="C10" s="4">
        <v>11170884</v>
      </c>
      <c r="D10" s="4">
        <v>14574885</v>
      </c>
      <c r="E10" s="4">
        <v>15992709</v>
      </c>
      <c r="F10" s="4">
        <v>16641062</v>
      </c>
      <c r="G10" s="4">
        <v>17120078</v>
      </c>
      <c r="H10" s="4">
        <v>17464159</v>
      </c>
      <c r="I10" s="4">
        <v>17646262</v>
      </c>
      <c r="J10" s="4">
        <v>17742349</v>
      </c>
      <c r="K10" s="4">
        <v>17796939</v>
      </c>
      <c r="L10" s="4">
        <v>0</v>
      </c>
    </row>
    <row r="11" spans="2:14" x14ac:dyDescent="0.2">
      <c r="B11" s="2">
        <v>2018</v>
      </c>
      <c r="C11" s="4">
        <v>11547535</v>
      </c>
      <c r="D11" s="4">
        <v>15165858</v>
      </c>
      <c r="E11" s="4">
        <v>16311589</v>
      </c>
      <c r="F11" s="4">
        <v>17045222</v>
      </c>
      <c r="G11" s="4">
        <v>17740647</v>
      </c>
      <c r="H11" s="4">
        <v>18111387</v>
      </c>
      <c r="I11" s="4">
        <v>18370396</v>
      </c>
      <c r="J11" s="4">
        <v>18446344</v>
      </c>
      <c r="K11" s="4">
        <v>0</v>
      </c>
      <c r="L11" s="4">
        <v>0</v>
      </c>
    </row>
    <row r="12" spans="2:14" x14ac:dyDescent="0.2">
      <c r="B12" s="2">
        <v>2019</v>
      </c>
      <c r="C12" s="4">
        <v>12121015</v>
      </c>
      <c r="D12" s="4">
        <v>16056837</v>
      </c>
      <c r="E12" s="4">
        <v>17504926</v>
      </c>
      <c r="F12" s="4">
        <v>18673151</v>
      </c>
      <c r="G12" s="4">
        <v>19400551</v>
      </c>
      <c r="H12" s="4">
        <v>19737302</v>
      </c>
      <c r="I12" s="4">
        <v>19879787</v>
      </c>
      <c r="J12" s="4">
        <v>0</v>
      </c>
      <c r="K12" s="4">
        <v>0</v>
      </c>
      <c r="L12" s="4">
        <v>0</v>
      </c>
    </row>
    <row r="13" spans="2:14" x14ac:dyDescent="0.2">
      <c r="B13" s="2">
        <v>2020</v>
      </c>
      <c r="C13" s="4">
        <v>11312244</v>
      </c>
      <c r="D13" s="4">
        <v>14821595</v>
      </c>
      <c r="E13" s="4">
        <v>16463026</v>
      </c>
      <c r="F13" s="4">
        <v>17427249</v>
      </c>
      <c r="G13" s="4">
        <v>17949629</v>
      </c>
      <c r="H13" s="4">
        <v>18173277</v>
      </c>
      <c r="I13" s="4">
        <v>0</v>
      </c>
      <c r="J13" s="4">
        <v>0</v>
      </c>
      <c r="K13" s="4">
        <v>0</v>
      </c>
      <c r="L13" s="4">
        <v>0</v>
      </c>
      <c r="M13" s="4"/>
      <c r="N13" s="4"/>
    </row>
    <row r="14" spans="2:14" x14ac:dyDescent="0.2">
      <c r="B14" s="2">
        <v>2021</v>
      </c>
      <c r="C14" s="4">
        <v>14232658</v>
      </c>
      <c r="D14" s="4">
        <v>20321637</v>
      </c>
      <c r="E14" s="4">
        <v>22273352</v>
      </c>
      <c r="F14" s="4">
        <v>23451116</v>
      </c>
      <c r="G14" s="4">
        <v>24022657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/>
    </row>
    <row r="15" spans="2:14" x14ac:dyDescent="0.2">
      <c r="B15" s="2">
        <v>2022</v>
      </c>
      <c r="C15" s="4">
        <v>15986304</v>
      </c>
      <c r="D15" s="4">
        <v>23228953</v>
      </c>
      <c r="E15" s="4">
        <v>25609947</v>
      </c>
      <c r="F15" s="4">
        <v>26753730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2:14" x14ac:dyDescent="0.2">
      <c r="B16" s="2">
        <v>2023</v>
      </c>
      <c r="C16" s="4">
        <v>18564718</v>
      </c>
      <c r="D16" s="4">
        <v>26008822</v>
      </c>
      <c r="E16" s="4">
        <v>28385184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/>
      <c r="N16" s="4"/>
    </row>
    <row r="17" spans="2:18" x14ac:dyDescent="0.2">
      <c r="B17" s="2">
        <v>2024</v>
      </c>
      <c r="C17" s="4">
        <v>18456817</v>
      </c>
      <c r="D17" s="4">
        <v>25767725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/>
    </row>
    <row r="18" spans="2:18" x14ac:dyDescent="0.2">
      <c r="B18" s="2">
        <v>2025</v>
      </c>
      <c r="C18" s="4">
        <v>18654478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24" spans="2:18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8" x14ac:dyDescent="0.2">
      <c r="B25" s="2"/>
      <c r="C25" s="4"/>
      <c r="D25" s="4"/>
      <c r="E25" s="4"/>
      <c r="F25" s="4"/>
      <c r="G25" s="4"/>
      <c r="H25" s="4"/>
      <c r="I25" s="4"/>
      <c r="J25" s="4"/>
      <c r="K25" s="4"/>
      <c r="L25" s="4"/>
      <c r="M25" s="3"/>
    </row>
    <row r="26" spans="2:18" x14ac:dyDescent="0.2">
      <c r="B26" s="1" t="s">
        <v>2</v>
      </c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2:18" x14ac:dyDescent="0.2">
      <c r="B27" s="2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2:18" x14ac:dyDescent="0.2">
      <c r="B28" s="2" t="s">
        <v>1</v>
      </c>
      <c r="C28" s="2">
        <v>0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  <c r="L28" s="2">
        <v>9</v>
      </c>
    </row>
    <row r="29" spans="2:18" x14ac:dyDescent="0.2">
      <c r="B29" s="2">
        <v>2016</v>
      </c>
      <c r="C29" s="4">
        <v>2951212</v>
      </c>
      <c r="D29" s="4">
        <v>3670988</v>
      </c>
      <c r="E29" s="4">
        <v>3794087</v>
      </c>
      <c r="F29" s="4">
        <v>3854258</v>
      </c>
      <c r="G29" s="4">
        <v>3883309</v>
      </c>
      <c r="H29" s="4">
        <v>3896012</v>
      </c>
      <c r="I29" s="4">
        <v>3908156</v>
      </c>
      <c r="J29" s="4">
        <v>3913496</v>
      </c>
      <c r="K29" s="4">
        <v>3916830</v>
      </c>
      <c r="L29" s="4">
        <v>3921589</v>
      </c>
    </row>
    <row r="30" spans="2:18" x14ac:dyDescent="0.2">
      <c r="B30" s="2">
        <v>2017</v>
      </c>
      <c r="C30" s="4">
        <v>3226384</v>
      </c>
      <c r="D30" s="4">
        <v>4211001</v>
      </c>
      <c r="E30" s="4">
        <v>4388324</v>
      </c>
      <c r="F30" s="4">
        <v>4273926</v>
      </c>
      <c r="G30" s="4">
        <v>4292278</v>
      </c>
      <c r="H30" s="4">
        <v>4273151</v>
      </c>
      <c r="I30" s="4">
        <v>4279105</v>
      </c>
      <c r="J30" s="4">
        <v>4283872</v>
      </c>
      <c r="K30" s="4">
        <v>4289311</v>
      </c>
      <c r="L30" s="4">
        <v>0</v>
      </c>
    </row>
    <row r="31" spans="2:18" x14ac:dyDescent="0.2">
      <c r="B31" s="2">
        <v>2018</v>
      </c>
      <c r="C31" s="4">
        <v>3426752</v>
      </c>
      <c r="D31" s="4">
        <v>4441598</v>
      </c>
      <c r="E31" s="4">
        <v>4328525</v>
      </c>
      <c r="F31" s="4">
        <v>4303357</v>
      </c>
      <c r="G31" s="4">
        <v>4375282</v>
      </c>
      <c r="H31" s="4">
        <v>4401207</v>
      </c>
      <c r="I31" s="4">
        <v>4417276</v>
      </c>
      <c r="J31" s="4">
        <v>4428696</v>
      </c>
      <c r="K31" s="4">
        <v>0</v>
      </c>
      <c r="L31" s="4">
        <v>0</v>
      </c>
      <c r="M31" s="4"/>
      <c r="N31" s="4"/>
      <c r="O31" s="4"/>
      <c r="P31" s="4"/>
      <c r="Q31" s="4"/>
      <c r="R31" s="4"/>
    </row>
    <row r="32" spans="2:18" x14ac:dyDescent="0.2">
      <c r="B32" s="2">
        <v>2019</v>
      </c>
      <c r="C32" s="4">
        <v>3320519</v>
      </c>
      <c r="D32" s="4">
        <v>4280049</v>
      </c>
      <c r="E32" s="4">
        <v>4431447</v>
      </c>
      <c r="F32" s="4">
        <v>4511769</v>
      </c>
      <c r="G32" s="4">
        <v>4558654</v>
      </c>
      <c r="H32" s="4">
        <v>4582488</v>
      </c>
      <c r="I32" s="4">
        <v>4590735</v>
      </c>
      <c r="J32" s="4">
        <v>0</v>
      </c>
      <c r="K32" s="4">
        <v>0</v>
      </c>
      <c r="L32" s="4">
        <v>0</v>
      </c>
      <c r="M32" s="4"/>
      <c r="N32" s="4"/>
      <c r="O32" s="4"/>
      <c r="P32" s="4"/>
      <c r="Q32" s="4"/>
    </row>
    <row r="33" spans="2:16" x14ac:dyDescent="0.2">
      <c r="B33" s="2">
        <v>2020</v>
      </c>
      <c r="C33" s="4">
        <v>3926387</v>
      </c>
      <c r="D33" s="4">
        <v>5033659</v>
      </c>
      <c r="E33" s="4">
        <v>5244109</v>
      </c>
      <c r="F33" s="4">
        <v>5326099</v>
      </c>
      <c r="G33" s="4">
        <v>5369591</v>
      </c>
      <c r="H33" s="4">
        <v>5400944</v>
      </c>
      <c r="I33" s="4">
        <v>0</v>
      </c>
      <c r="J33" s="4">
        <v>0</v>
      </c>
      <c r="K33" s="4">
        <v>0</v>
      </c>
      <c r="L33" s="4">
        <v>0</v>
      </c>
      <c r="M33" s="4"/>
      <c r="N33" s="4"/>
      <c r="O33" s="4"/>
      <c r="P33" s="4"/>
    </row>
    <row r="34" spans="2:16" x14ac:dyDescent="0.2">
      <c r="B34" s="2">
        <v>2021</v>
      </c>
      <c r="C34" s="4">
        <v>4114365</v>
      </c>
      <c r="D34" s="4">
        <v>5629081</v>
      </c>
      <c r="E34" s="4">
        <v>5841364</v>
      </c>
      <c r="F34" s="4">
        <v>5972356</v>
      </c>
      <c r="G34" s="4">
        <v>6023524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/>
      <c r="N34" s="4"/>
      <c r="O34" s="4"/>
    </row>
    <row r="35" spans="2:16" x14ac:dyDescent="0.2">
      <c r="B35" s="2">
        <v>2022</v>
      </c>
      <c r="C35" s="4">
        <v>3697440</v>
      </c>
      <c r="D35" s="4">
        <v>5580955</v>
      </c>
      <c r="E35" s="4">
        <v>5826612</v>
      </c>
      <c r="F35" s="4">
        <v>5934200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/>
      <c r="N35" s="4"/>
    </row>
    <row r="36" spans="2:16" x14ac:dyDescent="0.2">
      <c r="B36" s="2">
        <v>2023</v>
      </c>
      <c r="C36" s="4">
        <v>5418523</v>
      </c>
      <c r="D36" s="4">
        <v>7317741</v>
      </c>
      <c r="E36" s="4">
        <v>7680906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/>
    </row>
    <row r="37" spans="2:16" x14ac:dyDescent="0.2">
      <c r="B37" s="2">
        <v>2024</v>
      </c>
      <c r="C37" s="4">
        <v>5366128</v>
      </c>
      <c r="D37" s="4">
        <v>7451121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</row>
    <row r="38" spans="2:16" x14ac:dyDescent="0.2">
      <c r="B38" s="2">
        <v>2025</v>
      </c>
      <c r="C38" s="4">
        <v>5725112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</row>
    <row r="39" spans="2:16" x14ac:dyDescent="0.2">
      <c r="B39" s="2"/>
      <c r="I39" s="4"/>
      <c r="J39" s="4"/>
    </row>
    <row r="40" spans="2:16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6" x14ac:dyDescent="0.2">
      <c r="B41" s="2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2:16" x14ac:dyDescent="0.2">
      <c r="B42" s="2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2:16" x14ac:dyDescent="0.2">
      <c r="B43" s="2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2:16" x14ac:dyDescent="0.2">
      <c r="B44" s="5" t="s">
        <v>3</v>
      </c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2:16" x14ac:dyDescent="0.2">
      <c r="B45" s="2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2:16" x14ac:dyDescent="0.2">
      <c r="B46" s="2" t="s">
        <v>1</v>
      </c>
      <c r="C46" s="2">
        <v>0</v>
      </c>
      <c r="D46" s="2">
        <v>1</v>
      </c>
      <c r="E46" s="2">
        <v>2</v>
      </c>
      <c r="F46" s="2">
        <v>3</v>
      </c>
      <c r="G46" s="2">
        <v>4</v>
      </c>
      <c r="H46" s="2">
        <v>5</v>
      </c>
      <c r="I46" s="2">
        <v>6</v>
      </c>
      <c r="J46" s="2">
        <v>7</v>
      </c>
      <c r="K46" s="2">
        <v>8</v>
      </c>
      <c r="L46" s="2">
        <v>9</v>
      </c>
    </row>
    <row r="47" spans="2:16" x14ac:dyDescent="0.2">
      <c r="B47" s="2">
        <v>2016</v>
      </c>
      <c r="C47" s="4">
        <v>3264857</v>
      </c>
      <c r="D47" s="4">
        <v>5433994</v>
      </c>
      <c r="E47" s="4">
        <v>6461154</v>
      </c>
      <c r="F47" s="4">
        <v>7223215</v>
      </c>
      <c r="G47" s="4">
        <v>7605404</v>
      </c>
      <c r="H47" s="4">
        <v>7801006</v>
      </c>
      <c r="I47" s="4">
        <v>7959361</v>
      </c>
      <c r="J47" s="4">
        <v>8054272</v>
      </c>
      <c r="K47" s="4">
        <v>8089009</v>
      </c>
      <c r="L47" s="4">
        <v>8105529</v>
      </c>
    </row>
    <row r="48" spans="2:16" x14ac:dyDescent="0.2">
      <c r="B48" s="2">
        <v>2017</v>
      </c>
      <c r="C48" s="4">
        <v>2946641</v>
      </c>
      <c r="D48" s="4">
        <v>5035056</v>
      </c>
      <c r="E48" s="4">
        <v>6187092</v>
      </c>
      <c r="F48" s="4">
        <v>6898103</v>
      </c>
      <c r="G48" s="4">
        <v>7322015</v>
      </c>
      <c r="H48" s="4">
        <v>7620624</v>
      </c>
      <c r="I48" s="4">
        <v>7765462</v>
      </c>
      <c r="J48" s="4">
        <v>7844848</v>
      </c>
      <c r="K48" s="4">
        <v>7883522</v>
      </c>
      <c r="L48" s="4">
        <v>0</v>
      </c>
    </row>
    <row r="49" spans="2:14" x14ac:dyDescent="0.2">
      <c r="B49" s="2">
        <v>2018</v>
      </c>
      <c r="C49" s="4">
        <v>3011834</v>
      </c>
      <c r="D49" s="4">
        <v>5292216</v>
      </c>
      <c r="E49" s="4">
        <v>6493718</v>
      </c>
      <c r="F49" s="4">
        <v>7197833</v>
      </c>
      <c r="G49" s="4">
        <v>7725378</v>
      </c>
      <c r="H49" s="4">
        <v>7995706</v>
      </c>
      <c r="I49" s="4">
        <v>8204517</v>
      </c>
      <c r="J49" s="4">
        <v>8252686</v>
      </c>
      <c r="K49" s="4">
        <v>0</v>
      </c>
      <c r="L49" s="4">
        <v>0</v>
      </c>
    </row>
    <row r="50" spans="2:14" x14ac:dyDescent="0.2">
      <c r="B50" s="2">
        <v>2019</v>
      </c>
      <c r="C50" s="4">
        <v>3252576</v>
      </c>
      <c r="D50" s="4">
        <v>5858754</v>
      </c>
      <c r="E50" s="4">
        <v>7074694</v>
      </c>
      <c r="F50" s="4">
        <v>7993295</v>
      </c>
      <c r="G50" s="4">
        <v>8535303</v>
      </c>
      <c r="H50" s="4">
        <v>8767735</v>
      </c>
      <c r="I50" s="4">
        <v>8869267</v>
      </c>
      <c r="J50" s="4">
        <v>0</v>
      </c>
      <c r="K50" s="4">
        <v>0</v>
      </c>
      <c r="L50" s="4">
        <v>0</v>
      </c>
    </row>
    <row r="51" spans="2:14" x14ac:dyDescent="0.2">
      <c r="B51" s="2">
        <v>2020</v>
      </c>
      <c r="C51" s="4">
        <v>2530357</v>
      </c>
      <c r="D51" s="4">
        <v>4561663</v>
      </c>
      <c r="E51" s="4">
        <v>5817607</v>
      </c>
      <c r="F51" s="4">
        <v>6546020</v>
      </c>
      <c r="G51" s="4">
        <v>6913311</v>
      </c>
      <c r="H51" s="4">
        <v>7056466</v>
      </c>
      <c r="I51" s="4">
        <v>0</v>
      </c>
      <c r="J51" s="4">
        <v>0</v>
      </c>
      <c r="K51" s="4">
        <v>0</v>
      </c>
      <c r="L51" s="4">
        <v>0</v>
      </c>
    </row>
    <row r="52" spans="2:14" x14ac:dyDescent="0.2">
      <c r="B52" s="2">
        <v>2021</v>
      </c>
      <c r="C52" s="4">
        <v>3144511</v>
      </c>
      <c r="D52" s="4">
        <v>6726531</v>
      </c>
      <c r="E52" s="4">
        <v>8287997</v>
      </c>
      <c r="F52" s="4">
        <v>9149454</v>
      </c>
      <c r="G52" s="4">
        <v>9521686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</row>
    <row r="53" spans="2:14" x14ac:dyDescent="0.2">
      <c r="B53" s="2">
        <v>2022</v>
      </c>
      <c r="C53" s="4">
        <v>3903265</v>
      </c>
      <c r="D53" s="4">
        <v>8028546</v>
      </c>
      <c r="E53" s="4">
        <v>9912100</v>
      </c>
      <c r="F53" s="4">
        <v>10740399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</row>
    <row r="54" spans="2:14" x14ac:dyDescent="0.2">
      <c r="B54" s="2">
        <v>2023</v>
      </c>
      <c r="C54" s="4">
        <v>4417124</v>
      </c>
      <c r="D54" s="4">
        <v>8881824</v>
      </c>
      <c r="E54" s="4">
        <v>10699665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</row>
    <row r="55" spans="2:14" x14ac:dyDescent="0.2">
      <c r="B55" s="2">
        <v>2024</v>
      </c>
      <c r="C55" s="4">
        <v>4719549</v>
      </c>
      <c r="D55" s="4">
        <v>9031737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</row>
    <row r="56" spans="2:14" x14ac:dyDescent="0.2">
      <c r="B56" s="2">
        <v>2025</v>
      </c>
      <c r="C56" s="4">
        <v>5098536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</row>
    <row r="60" spans="2:14" x14ac:dyDescent="0.2">
      <c r="M60" s="4"/>
      <c r="N60" s="4"/>
    </row>
    <row r="61" spans="2:14" x14ac:dyDescent="0.2">
      <c r="B61" s="2"/>
      <c r="M61" s="4"/>
    </row>
    <row r="62" spans="2:14" x14ac:dyDescent="0.2">
      <c r="B62" s="5" t="s">
        <v>4</v>
      </c>
    </row>
    <row r="64" spans="2:14" x14ac:dyDescent="0.2">
      <c r="B64" s="2" t="s">
        <v>1</v>
      </c>
      <c r="C64" s="2">
        <v>0</v>
      </c>
      <c r="D64" s="2">
        <v>1</v>
      </c>
      <c r="E64" s="2">
        <v>2</v>
      </c>
      <c r="F64" s="2">
        <v>3</v>
      </c>
      <c r="G64" s="2">
        <v>4</v>
      </c>
      <c r="H64" s="2">
        <v>5</v>
      </c>
      <c r="I64" s="2">
        <v>6</v>
      </c>
      <c r="J64" s="2">
        <v>7</v>
      </c>
      <c r="K64" s="2">
        <v>8</v>
      </c>
      <c r="L64" s="2">
        <v>9</v>
      </c>
      <c r="M64" s="4"/>
      <c r="N64" s="4"/>
    </row>
    <row r="65" spans="2:13" x14ac:dyDescent="0.2">
      <c r="B65" s="2">
        <v>2016</v>
      </c>
      <c r="C65" s="4">
        <v>43817</v>
      </c>
      <c r="D65" s="4">
        <v>90782</v>
      </c>
      <c r="E65" s="4">
        <v>132929</v>
      </c>
      <c r="F65" s="4">
        <v>173070</v>
      </c>
      <c r="G65" s="4">
        <v>197804</v>
      </c>
      <c r="H65" s="4">
        <v>204865</v>
      </c>
      <c r="I65" s="4">
        <v>219835</v>
      </c>
      <c r="J65" s="4">
        <v>229766</v>
      </c>
      <c r="K65" s="4">
        <v>232854</v>
      </c>
      <c r="L65" s="4">
        <v>237230</v>
      </c>
      <c r="M65" s="4"/>
    </row>
    <row r="66" spans="2:13" x14ac:dyDescent="0.2">
      <c r="B66" s="2">
        <v>2017</v>
      </c>
      <c r="C66" s="4">
        <v>34518</v>
      </c>
      <c r="D66" s="4">
        <v>73053</v>
      </c>
      <c r="E66" s="4">
        <v>110453</v>
      </c>
      <c r="F66" s="4">
        <v>138828</v>
      </c>
      <c r="G66" s="4">
        <v>138536</v>
      </c>
      <c r="H66" s="4">
        <v>165484</v>
      </c>
      <c r="I66" s="4">
        <v>184344</v>
      </c>
      <c r="J66" s="4">
        <v>189838</v>
      </c>
      <c r="K66" s="4">
        <v>194841</v>
      </c>
      <c r="L66" s="4">
        <v>0</v>
      </c>
    </row>
    <row r="67" spans="2:13" x14ac:dyDescent="0.2">
      <c r="B67" s="2">
        <v>2018</v>
      </c>
      <c r="C67" s="4">
        <v>43606</v>
      </c>
      <c r="D67" s="4">
        <v>86853</v>
      </c>
      <c r="E67" s="4">
        <v>136292</v>
      </c>
      <c r="F67" s="4">
        <v>153061</v>
      </c>
      <c r="G67" s="4">
        <v>202979</v>
      </c>
      <c r="H67" s="4">
        <v>248862</v>
      </c>
      <c r="I67" s="4">
        <v>268133</v>
      </c>
      <c r="J67" s="4">
        <v>275175</v>
      </c>
      <c r="K67" s="4">
        <v>0</v>
      </c>
      <c r="L67" s="4">
        <v>0</v>
      </c>
    </row>
    <row r="68" spans="2:13" x14ac:dyDescent="0.2">
      <c r="B68" s="2">
        <v>2019</v>
      </c>
      <c r="C68" s="4">
        <v>53008</v>
      </c>
      <c r="D68" s="4">
        <v>148679</v>
      </c>
      <c r="E68" s="4">
        <v>195587</v>
      </c>
      <c r="F68" s="4">
        <v>318695</v>
      </c>
      <c r="G68" s="4">
        <v>394866</v>
      </c>
      <c r="H68" s="4">
        <v>437806</v>
      </c>
      <c r="I68" s="4">
        <v>451221</v>
      </c>
      <c r="J68" s="4">
        <v>0</v>
      </c>
      <c r="K68" s="4">
        <v>0</v>
      </c>
      <c r="L68" s="4">
        <v>0</v>
      </c>
    </row>
    <row r="69" spans="2:13" x14ac:dyDescent="0.2">
      <c r="B69" s="2">
        <v>2020</v>
      </c>
      <c r="C69" s="4">
        <v>48589</v>
      </c>
      <c r="D69" s="4">
        <v>71639</v>
      </c>
      <c r="E69" s="4">
        <v>184101</v>
      </c>
      <c r="F69" s="4">
        <v>266074</v>
      </c>
      <c r="G69" s="4">
        <v>332066</v>
      </c>
      <c r="H69" s="4">
        <v>355625</v>
      </c>
      <c r="I69" s="4">
        <v>0</v>
      </c>
      <c r="J69" s="4">
        <v>0</v>
      </c>
      <c r="K69" s="4">
        <v>0</v>
      </c>
      <c r="L69" s="4">
        <v>0</v>
      </c>
    </row>
    <row r="70" spans="2:13" x14ac:dyDescent="0.2">
      <c r="B70" s="2">
        <v>2021</v>
      </c>
      <c r="C70" s="4">
        <v>84209</v>
      </c>
      <c r="D70" s="4">
        <v>235497</v>
      </c>
      <c r="E70" s="4">
        <v>388765</v>
      </c>
      <c r="F70" s="4">
        <v>536784</v>
      </c>
      <c r="G70" s="4">
        <v>633937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</row>
    <row r="71" spans="2:13" x14ac:dyDescent="0.2">
      <c r="B71" s="2">
        <v>2022</v>
      </c>
      <c r="C71" s="4">
        <v>82710</v>
      </c>
      <c r="D71" s="4">
        <v>246637</v>
      </c>
      <c r="E71" s="4">
        <v>432066</v>
      </c>
      <c r="F71" s="4">
        <v>579071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</row>
    <row r="72" spans="2:13" x14ac:dyDescent="0.2">
      <c r="B72" s="2">
        <v>2023</v>
      </c>
      <c r="C72" s="4">
        <v>67015</v>
      </c>
      <c r="D72" s="4">
        <v>185661</v>
      </c>
      <c r="E72" s="4">
        <v>288378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</row>
    <row r="73" spans="2:13" x14ac:dyDescent="0.2">
      <c r="B73" s="2">
        <v>2024</v>
      </c>
      <c r="C73" s="4">
        <v>53872</v>
      </c>
      <c r="D73" s="4">
        <v>114453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</row>
    <row r="74" spans="2:13" x14ac:dyDescent="0.2">
      <c r="B74" s="2">
        <v>2025</v>
      </c>
      <c r="C74" s="4">
        <v>40714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</row>
    <row r="76" spans="2:13" x14ac:dyDescent="0.2">
      <c r="B76" s="2"/>
      <c r="C76" s="4"/>
      <c r="D76" s="4"/>
      <c r="E76" s="4"/>
      <c r="F76" s="4"/>
      <c r="G76" s="4"/>
      <c r="H76" s="4"/>
      <c r="I76" s="4"/>
      <c r="J76" s="4"/>
      <c r="K76" s="4"/>
      <c r="L76" s="4"/>
    </row>
    <row r="80" spans="2:13" x14ac:dyDescent="0.2">
      <c r="B80" s="5" t="s">
        <v>5</v>
      </c>
    </row>
    <row r="83" spans="2:12" x14ac:dyDescent="0.2">
      <c r="B83" t="s">
        <v>6</v>
      </c>
    </row>
    <row r="92" spans="2:12" x14ac:dyDescent="0.2">
      <c r="B92" s="2"/>
    </row>
    <row r="94" spans="2:12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2:12" x14ac:dyDescent="0.2">
      <c r="B95" s="2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2:12" x14ac:dyDescent="0.2">
      <c r="B96" s="2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2:14" x14ac:dyDescent="0.2">
      <c r="B97" s="2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2:14" x14ac:dyDescent="0.2">
      <c r="B98" s="5" t="s">
        <v>7</v>
      </c>
    </row>
    <row r="100" spans="2:14" x14ac:dyDescent="0.2">
      <c r="B100" s="2" t="s">
        <v>1</v>
      </c>
      <c r="C100" s="2">
        <v>0</v>
      </c>
      <c r="D100" s="2">
        <v>1</v>
      </c>
      <c r="E100" s="2">
        <v>2</v>
      </c>
      <c r="F100" s="2">
        <v>3</v>
      </c>
      <c r="G100" s="2">
        <v>4</v>
      </c>
      <c r="H100" s="2">
        <v>5</v>
      </c>
      <c r="I100" s="2">
        <v>6</v>
      </c>
      <c r="J100" s="2">
        <v>7</v>
      </c>
      <c r="K100" s="2">
        <v>8</v>
      </c>
      <c r="L100" s="2">
        <v>9</v>
      </c>
    </row>
    <row r="101" spans="2:14" x14ac:dyDescent="0.2">
      <c r="B101" s="2">
        <v>2016</v>
      </c>
      <c r="C101" s="4">
        <v>255368</v>
      </c>
      <c r="D101" s="4">
        <v>323634</v>
      </c>
      <c r="E101" s="4">
        <v>340385</v>
      </c>
      <c r="F101" s="4">
        <v>351417</v>
      </c>
      <c r="G101" s="4">
        <v>358226</v>
      </c>
      <c r="H101" s="4">
        <v>361624</v>
      </c>
      <c r="I101" s="4">
        <v>365663</v>
      </c>
      <c r="J101" s="4">
        <v>366643</v>
      </c>
      <c r="K101" s="4">
        <v>366775</v>
      </c>
      <c r="L101" s="4">
        <v>367462</v>
      </c>
      <c r="M101" s="4"/>
      <c r="N101" s="4"/>
    </row>
    <row r="102" spans="2:14" x14ac:dyDescent="0.2">
      <c r="B102" s="2">
        <v>2017</v>
      </c>
      <c r="C102" s="4">
        <v>241992</v>
      </c>
      <c r="D102" s="4">
        <v>304111</v>
      </c>
      <c r="E102" s="4">
        <v>320831</v>
      </c>
      <c r="F102" s="4">
        <v>323868</v>
      </c>
      <c r="G102" s="4">
        <v>329010</v>
      </c>
      <c r="H102" s="4">
        <v>332568</v>
      </c>
      <c r="I102" s="4">
        <v>335999</v>
      </c>
      <c r="J102" s="4">
        <v>336405</v>
      </c>
      <c r="K102" s="4">
        <v>337224</v>
      </c>
      <c r="L102" s="4">
        <v>0</v>
      </c>
      <c r="M102" s="4"/>
    </row>
    <row r="103" spans="2:14" x14ac:dyDescent="0.2">
      <c r="B103" s="2">
        <v>2018</v>
      </c>
      <c r="C103" s="4">
        <v>257438</v>
      </c>
      <c r="D103" s="4">
        <v>326099</v>
      </c>
      <c r="E103" s="4">
        <v>322182</v>
      </c>
      <c r="F103" s="4">
        <v>331557</v>
      </c>
      <c r="G103" s="4">
        <v>343800</v>
      </c>
      <c r="H103" s="4">
        <v>347389</v>
      </c>
      <c r="I103" s="4">
        <v>348779</v>
      </c>
      <c r="J103" s="4">
        <v>352652</v>
      </c>
      <c r="K103" s="4">
        <v>0</v>
      </c>
      <c r="L103" s="4">
        <v>0</v>
      </c>
    </row>
    <row r="104" spans="2:14" x14ac:dyDescent="0.2">
      <c r="B104" s="2">
        <v>2019</v>
      </c>
      <c r="C104" s="4">
        <v>236768</v>
      </c>
      <c r="D104" s="4">
        <v>303136</v>
      </c>
      <c r="E104" s="4">
        <v>314374</v>
      </c>
      <c r="F104" s="4">
        <v>321988</v>
      </c>
      <c r="G104" s="4">
        <v>327667</v>
      </c>
      <c r="H104" s="4">
        <v>332322</v>
      </c>
      <c r="I104" s="4">
        <v>334290</v>
      </c>
      <c r="J104" s="4">
        <v>0</v>
      </c>
      <c r="K104" s="4">
        <v>0</v>
      </c>
      <c r="L104" s="4">
        <v>0</v>
      </c>
    </row>
    <row r="105" spans="2:14" x14ac:dyDescent="0.2">
      <c r="B105" s="2">
        <v>2020</v>
      </c>
      <c r="C105" s="4">
        <v>255306</v>
      </c>
      <c r="D105" s="4">
        <v>306348</v>
      </c>
      <c r="E105" s="4">
        <v>327446</v>
      </c>
      <c r="F105" s="4">
        <v>338580</v>
      </c>
      <c r="G105" s="4">
        <v>346915</v>
      </c>
      <c r="H105" s="4">
        <v>351885</v>
      </c>
      <c r="I105" s="4">
        <v>0</v>
      </c>
      <c r="J105" s="4">
        <v>0</v>
      </c>
      <c r="K105" s="4">
        <v>0</v>
      </c>
      <c r="L105" s="4">
        <v>0</v>
      </c>
      <c r="M105" s="4"/>
      <c r="N105" s="4"/>
    </row>
    <row r="106" spans="2:14" x14ac:dyDescent="0.2">
      <c r="B106" s="2">
        <v>2021</v>
      </c>
      <c r="C106" s="4">
        <v>261278</v>
      </c>
      <c r="D106" s="4">
        <v>365476</v>
      </c>
      <c r="E106" s="4">
        <v>389427</v>
      </c>
      <c r="F106" s="4">
        <v>388397</v>
      </c>
      <c r="G106" s="4">
        <v>399847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/>
    </row>
    <row r="107" spans="2:14" x14ac:dyDescent="0.2">
      <c r="B107" s="2">
        <v>2022</v>
      </c>
      <c r="C107" s="4">
        <v>270438</v>
      </c>
      <c r="D107" s="4">
        <v>395251</v>
      </c>
      <c r="E107" s="4">
        <v>410190</v>
      </c>
      <c r="F107" s="4">
        <v>419699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</row>
    <row r="108" spans="2:14" x14ac:dyDescent="0.2">
      <c r="B108" s="2">
        <v>2023</v>
      </c>
      <c r="C108" s="4">
        <v>366641</v>
      </c>
      <c r="D108" s="4">
        <v>484269</v>
      </c>
      <c r="E108" s="4">
        <v>505198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</row>
    <row r="109" spans="2:14" x14ac:dyDescent="0.2">
      <c r="B109" s="2">
        <v>2024</v>
      </c>
      <c r="C109" s="4">
        <v>390015</v>
      </c>
      <c r="D109" s="4">
        <v>521441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</row>
    <row r="110" spans="2:14" x14ac:dyDescent="0.2">
      <c r="B110" s="2">
        <v>2025</v>
      </c>
      <c r="C110" s="4">
        <v>418412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</row>
    <row r="125" spans="2:12" x14ac:dyDescent="0.2">
      <c r="B125" s="2"/>
    </row>
    <row r="127" spans="2:12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2:12" x14ac:dyDescent="0.2">
      <c r="B128" s="2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2:13" x14ac:dyDescent="0.2">
      <c r="B129" s="2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2:13" x14ac:dyDescent="0.2">
      <c r="B130" s="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2:13" x14ac:dyDescent="0.2"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2:13" x14ac:dyDescent="0.2">
      <c r="B132" s="2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2:13" x14ac:dyDescent="0.2">
      <c r="B133" s="2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2:13" x14ac:dyDescent="0.2">
      <c r="B134" s="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2:13" x14ac:dyDescent="0.2">
      <c r="B135" s="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2:13" x14ac:dyDescent="0.2">
      <c r="B136" s="2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2:13" x14ac:dyDescent="0.2">
      <c r="B137" s="2"/>
      <c r="C137" s="4"/>
      <c r="D137" s="4"/>
      <c r="E137" s="4"/>
      <c r="F137" s="4"/>
      <c r="G137" s="4"/>
      <c r="H137" s="4"/>
      <c r="I137" s="4"/>
      <c r="J137" s="4"/>
      <c r="K137" s="4"/>
      <c r="L13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6A16-C21E-D344-8654-32263F2E3548}">
  <dimension ref="C8:F110"/>
  <sheetViews>
    <sheetView topLeftCell="A100" zoomScale="159" zoomScaleNormal="159" workbookViewId="0">
      <selection activeCell="G101" sqref="G101:G110"/>
    </sheetView>
  </sheetViews>
  <sheetFormatPr baseColWidth="10" defaultRowHeight="16" x14ac:dyDescent="0.2"/>
  <cols>
    <col min="3" max="3" width="38.1640625" bestFit="1" customWidth="1"/>
    <col min="5" max="5" width="35" bestFit="1" customWidth="1"/>
  </cols>
  <sheetData>
    <row r="8" spans="3:6" x14ac:dyDescent="0.2">
      <c r="C8" s="2" t="s">
        <v>8</v>
      </c>
      <c r="E8" s="2" t="s">
        <v>19</v>
      </c>
    </row>
    <row r="9" spans="3:6" x14ac:dyDescent="0.2">
      <c r="C9" s="2" t="s">
        <v>9</v>
      </c>
      <c r="D9">
        <f>SUM('Loss development triangles'!D9:D17)/SUM('Loss development triangles'!C9:C17)</f>
        <v>1.3669178780781981</v>
      </c>
      <c r="E9" s="6" t="s">
        <v>20</v>
      </c>
      <c r="F9">
        <f>PRODUCT(D9:D17)</f>
        <v>1.6845808941122598</v>
      </c>
    </row>
    <row r="10" spans="3:6" x14ac:dyDescent="0.2">
      <c r="C10" s="2" t="s">
        <v>10</v>
      </c>
      <c r="D10">
        <f>SUM('Loss development triangles'!E9:E16)/SUM('Loss development triangles'!D9:D16)</f>
        <v>1.0940148457337353</v>
      </c>
      <c r="E10" t="s">
        <v>21</v>
      </c>
      <c r="F10">
        <f>PRODUCT(D10:D17)</f>
        <v>1.2323936361712351</v>
      </c>
    </row>
    <row r="11" spans="3:6" x14ac:dyDescent="0.2">
      <c r="C11" s="2" t="s">
        <v>11</v>
      </c>
      <c r="D11">
        <f>SUM('Loss development triangles'!F9:F15)/SUM('Loss development triangles'!E9:E15)</f>
        <v>1.0519716215942958</v>
      </c>
      <c r="E11" t="s">
        <v>22</v>
      </c>
      <c r="F11">
        <f>PRODUCT(D11:D17)</f>
        <v>1.1264871230743601</v>
      </c>
    </row>
    <row r="12" spans="3:6" x14ac:dyDescent="0.2">
      <c r="C12" s="2" t="s">
        <v>12</v>
      </c>
      <c r="D12">
        <f>SUM('Loss development triangles'!G9:G14)/SUM('Loss development triangles'!F9:F14)</f>
        <v>1.0314545829553992</v>
      </c>
      <c r="E12" t="s">
        <v>23</v>
      </c>
      <c r="F12">
        <f>PRODUCT(D12:D17)</f>
        <v>1.0708341365398564</v>
      </c>
    </row>
    <row r="13" spans="3:6" x14ac:dyDescent="0.2">
      <c r="C13" s="2" t="s">
        <v>13</v>
      </c>
      <c r="D13">
        <f>SUM('Loss development triangles'!H9:H13)/SUM('Loss development triangles'!G9:G13)</f>
        <v>1.0169006849520259</v>
      </c>
      <c r="E13" t="s">
        <v>24</v>
      </c>
      <c r="F13">
        <f>PRODUCT(D13:D17)</f>
        <v>1.038178659763791</v>
      </c>
    </row>
    <row r="14" spans="3:6" x14ac:dyDescent="0.2">
      <c r="C14" s="2" t="s">
        <v>14</v>
      </c>
      <c r="D14">
        <f>SUM('Loss development triangles'!I9:I12)/SUM('Loss development triangles'!H9:H12)</f>
        <v>1.0108566713510818</v>
      </c>
      <c r="E14" t="s">
        <v>25</v>
      </c>
      <c r="F14">
        <f>PRODUCT(D14:D17)</f>
        <v>1.0209243391479952</v>
      </c>
    </row>
    <row r="15" spans="3:6" x14ac:dyDescent="0.2">
      <c r="C15" s="2" t="s">
        <v>15</v>
      </c>
      <c r="D15">
        <f>SUM('Loss development triangles'!J9:J11)/SUM('Loss development triangles'!I9:I11)</f>
        <v>1.0054311640070057</v>
      </c>
      <c r="E15" t="s">
        <v>26</v>
      </c>
      <c r="F15">
        <f>PRODUCT(D15:D17)</f>
        <v>1.0099595403406276</v>
      </c>
    </row>
    <row r="16" spans="3:6" x14ac:dyDescent="0.2">
      <c r="C16" s="2" t="s">
        <v>16</v>
      </c>
      <c r="D16">
        <f>SUM('Loss development triangles'!K9:K10)/SUM('Loss development triangles'!J9:J10)</f>
        <v>1.0028769518453544</v>
      </c>
      <c r="E16" t="s">
        <v>27</v>
      </c>
      <c r="F16">
        <f>PRODUCT(D16:D17)</f>
        <v>1.0045039148334876</v>
      </c>
    </row>
    <row r="17" spans="3:6" x14ac:dyDescent="0.2">
      <c r="C17" s="2" t="s">
        <v>17</v>
      </c>
      <c r="D17">
        <f>SUM('Loss development triangles'!L9)/SUM('Loss development triangles'!K9)</f>
        <v>1.0016222957214636</v>
      </c>
      <c r="E17" t="s">
        <v>28</v>
      </c>
      <c r="F17">
        <f>PRODUCT(D17)</f>
        <v>1.0016222957214636</v>
      </c>
    </row>
    <row r="18" spans="3:6" x14ac:dyDescent="0.2">
      <c r="C18" s="2" t="s">
        <v>18</v>
      </c>
      <c r="D18">
        <v>1</v>
      </c>
      <c r="E18" t="s">
        <v>29</v>
      </c>
      <c r="F18">
        <v>1</v>
      </c>
    </row>
    <row r="28" spans="3:6" x14ac:dyDescent="0.2">
      <c r="C28" s="2" t="s">
        <v>8</v>
      </c>
      <c r="E28" s="2" t="s">
        <v>19</v>
      </c>
    </row>
    <row r="29" spans="3:6" x14ac:dyDescent="0.2">
      <c r="C29" s="2" t="s">
        <v>9</v>
      </c>
      <c r="D29">
        <f>SUM('Loss development triangles'!D29:D37)/SUM('Loss development triangles'!C29:C37)</f>
        <v>1.3432798056630457</v>
      </c>
      <c r="E29" s="6" t="s">
        <v>20</v>
      </c>
      <c r="F29">
        <f>PRODUCT(D29:D37)</f>
        <v>1.4291578279504527</v>
      </c>
    </row>
    <row r="30" spans="3:6" x14ac:dyDescent="0.2">
      <c r="C30" s="2" t="s">
        <v>10</v>
      </c>
      <c r="D30">
        <f>SUM('Loss development triangles'!E29:E36)/SUM('Loss development triangles'!D29:D36)</f>
        <v>1.0341167569673471</v>
      </c>
      <c r="E30" t="s">
        <v>21</v>
      </c>
      <c r="F30">
        <f>PRODUCT(D30:D37)</f>
        <v>1.063931596325173</v>
      </c>
    </row>
    <row r="31" spans="3:6" x14ac:dyDescent="0.2">
      <c r="C31" s="2" t="s">
        <v>11</v>
      </c>
      <c r="D31">
        <f>SUM('Loss development triangles'!F29:F35)/SUM('Loss development triangles'!E29:E35)</f>
        <v>1.0094964422421289</v>
      </c>
      <c r="E31" t="s">
        <v>22</v>
      </c>
      <c r="F31">
        <f>PRODUCT(D31:D37)</f>
        <v>1.028831211908084</v>
      </c>
    </row>
    <row r="32" spans="3:6" x14ac:dyDescent="0.2">
      <c r="C32" s="2" t="s">
        <v>12</v>
      </c>
      <c r="D32">
        <f>SUM('Loss development triangles'!G29:G34)/SUM('Loss development triangles'!F29:F34)</f>
        <v>1.0092371351436427</v>
      </c>
      <c r="E32" t="s">
        <v>23</v>
      </c>
      <c r="F32">
        <f>PRODUCT(D32:D37)</f>
        <v>1.0191528853960217</v>
      </c>
    </row>
    <row r="33" spans="3:6" x14ac:dyDescent="0.2">
      <c r="C33" s="2" t="s">
        <v>13</v>
      </c>
      <c r="D33">
        <f>SUM('Loss development triangles'!H29:H33)/SUM('Loss development triangles'!G29:G33)</f>
        <v>1.0033225508798969</v>
      </c>
      <c r="E33" t="s">
        <v>24</v>
      </c>
      <c r="F33">
        <f>PRODUCT(D33:D37)</f>
        <v>1.0098249954416985</v>
      </c>
    </row>
    <row r="34" spans="3:6" x14ac:dyDescent="0.2">
      <c r="C34" s="2" t="s">
        <v>14</v>
      </c>
      <c r="D34">
        <f>SUM('Loss development triangles'!I29:I32)/SUM('Loss development triangles'!H29:H32)</f>
        <v>1.0024727074636774</v>
      </c>
      <c r="E34" t="s">
        <v>25</v>
      </c>
      <c r="F34">
        <f>PRODUCT(D34:D37)</f>
        <v>1.0064809114039137</v>
      </c>
    </row>
    <row r="35" spans="3:6" x14ac:dyDescent="0.2">
      <c r="C35" s="2" t="s">
        <v>15</v>
      </c>
      <c r="D35">
        <f>SUM('Loss development triangles'!J29:J31)/SUM('Loss development triangles'!I29:I31)</f>
        <v>1.001707877092193</v>
      </c>
      <c r="E35" t="s">
        <v>26</v>
      </c>
      <c r="F35">
        <f>PRODUCT(D35:D37)</f>
        <v>1.0039983172712774</v>
      </c>
    </row>
    <row r="36" spans="3:6" x14ac:dyDescent="0.2">
      <c r="C36" s="2" t="s">
        <v>16</v>
      </c>
      <c r="D36">
        <f>SUM('Loss development triangles'!K29:K30)/SUM('Loss development triangles'!J29:J30)</f>
        <v>1.0010702215637994</v>
      </c>
      <c r="E36" t="s">
        <v>27</v>
      </c>
      <c r="F36">
        <f>PRODUCT(D36:D37)</f>
        <v>1.0022865350582379</v>
      </c>
    </row>
    <row r="37" spans="3:6" x14ac:dyDescent="0.2">
      <c r="C37" s="2" t="s">
        <v>17</v>
      </c>
      <c r="D37">
        <f>SUM('Loss development triangles'!L29)/SUM('Loss development triangles'!K29)</f>
        <v>1.0012150131611532</v>
      </c>
      <c r="E37" t="s">
        <v>28</v>
      </c>
      <c r="F37">
        <f>PRODUCT(D37)</f>
        <v>1.0012150131611532</v>
      </c>
    </row>
    <row r="38" spans="3:6" x14ac:dyDescent="0.2">
      <c r="C38" s="2" t="s">
        <v>18</v>
      </c>
      <c r="D38">
        <v>1</v>
      </c>
      <c r="E38" t="s">
        <v>29</v>
      </c>
      <c r="F38">
        <v>1</v>
      </c>
    </row>
    <row r="46" spans="3:6" x14ac:dyDescent="0.2">
      <c r="C46" s="2" t="s">
        <v>8</v>
      </c>
      <c r="E46" s="2" t="s">
        <v>19</v>
      </c>
    </row>
    <row r="47" spans="3:6" x14ac:dyDescent="0.2">
      <c r="C47" s="2" t="s">
        <v>9</v>
      </c>
      <c r="D47">
        <f>SUM('Loss development triangles'!D47:D55)/SUM('Loss development triangles'!C47:C55)</f>
        <v>1.88678979904083</v>
      </c>
      <c r="E47" s="6" t="s">
        <v>20</v>
      </c>
      <c r="F47">
        <f>PRODUCT(D47:D55)</f>
        <v>2.8897685821909334</v>
      </c>
    </row>
    <row r="48" spans="3:6" x14ac:dyDescent="0.2">
      <c r="C48" s="2" t="s">
        <v>10</v>
      </c>
      <c r="D48">
        <f>SUM('Loss development triangles'!E47:E54)/SUM('Loss development triangles'!D47:D54)</f>
        <v>1.2231184049711248</v>
      </c>
      <c r="E48" t="s">
        <v>21</v>
      </c>
      <c r="F48">
        <f>PRODUCT(D48:D55)</f>
        <v>1.5315795027405696</v>
      </c>
    </row>
    <row r="49" spans="3:6" x14ac:dyDescent="0.2">
      <c r="C49" s="2" t="s">
        <v>11</v>
      </c>
      <c r="D49">
        <f>SUM('Loss development triangles'!F47:F53)/SUM('Loss development triangles'!E47:E53)</f>
        <v>1.109764646757134</v>
      </c>
      <c r="E49" t="s">
        <v>22</v>
      </c>
      <c r="F49">
        <f>PRODUCT(D49:D55)</f>
        <v>1.2521923441882363</v>
      </c>
    </row>
    <row r="50" spans="3:6" x14ac:dyDescent="0.2">
      <c r="C50" s="2" t="s">
        <v>12</v>
      </c>
      <c r="D50">
        <f>SUM('Loss development triangles'!G47:G52)/SUM('Loss development triangles'!F47:F52)</f>
        <v>1.0581048179964772</v>
      </c>
      <c r="E50" t="s">
        <v>23</v>
      </c>
      <c r="F50">
        <f>PRODUCT(D50:D55)</f>
        <v>1.1283404529485537</v>
      </c>
    </row>
    <row r="51" spans="3:6" x14ac:dyDescent="0.2">
      <c r="C51" s="2" t="s">
        <v>13</v>
      </c>
      <c r="D51">
        <f>SUM('Loss development triangles'!H47:H51)/SUM('Loss development triangles'!G47:G51)</f>
        <v>1.02992345874015</v>
      </c>
      <c r="E51" t="s">
        <v>24</v>
      </c>
      <c r="F51">
        <f>PRODUCT(D51:D55)</f>
        <v>1.0663787119739876</v>
      </c>
    </row>
    <row r="52" spans="3:6" x14ac:dyDescent="0.2">
      <c r="C52" s="2" t="s">
        <v>14</v>
      </c>
      <c r="D52">
        <f>SUM('Loss development triangles'!I47:I50)/SUM('Loss development triangles'!H47:H50)</f>
        <v>1.0190627511742945</v>
      </c>
      <c r="E52" t="s">
        <v>25</v>
      </c>
      <c r="F52">
        <f>PRODUCT(D52:D55)</f>
        <v>1.035396080091652</v>
      </c>
    </row>
    <row r="53" spans="3:6" x14ac:dyDescent="0.2">
      <c r="C53" s="2" t="s">
        <v>15</v>
      </c>
      <c r="D53">
        <f>SUM('Loss development triangles'!J47:J49)/SUM('Loss development triangles'!I47:I49)</f>
        <v>1.0092967879598853</v>
      </c>
      <c r="E53" t="s">
        <v>26</v>
      </c>
      <c r="F53">
        <f>PRODUCT(D53:D55)</f>
        <v>1.0160277950484757</v>
      </c>
    </row>
    <row r="54" spans="3:6" x14ac:dyDescent="0.2">
      <c r="C54" s="2" t="s">
        <v>16</v>
      </c>
      <c r="D54">
        <f>SUM('Loss development triangles'!K47:K48)/SUM('Loss development triangles'!J47:J48)</f>
        <v>1.004617299573813</v>
      </c>
      <c r="E54" t="s">
        <v>27</v>
      </c>
      <c r="F54">
        <f>PRODUCT(D54:D55)</f>
        <v>1.006669006746961</v>
      </c>
    </row>
    <row r="55" spans="3:6" x14ac:dyDescent="0.2">
      <c r="C55" s="2" t="s">
        <v>17</v>
      </c>
      <c r="D55">
        <f>SUM('Loss development triangles'!L47)/SUM('Loss development triangles'!K47)</f>
        <v>1.002042277366733</v>
      </c>
      <c r="E55" t="s">
        <v>28</v>
      </c>
      <c r="F55">
        <f>PRODUCT(D55)</f>
        <v>1.002042277366733</v>
      </c>
    </row>
    <row r="56" spans="3:6" x14ac:dyDescent="0.2">
      <c r="C56" s="2" t="s">
        <v>18</v>
      </c>
      <c r="D56">
        <v>1</v>
      </c>
      <c r="E56" t="s">
        <v>29</v>
      </c>
      <c r="F56">
        <v>1</v>
      </c>
    </row>
    <row r="64" spans="3:6" x14ac:dyDescent="0.2">
      <c r="C64" s="2" t="s">
        <v>8</v>
      </c>
      <c r="E64" s="2" t="s">
        <v>19</v>
      </c>
    </row>
    <row r="65" spans="3:6" x14ac:dyDescent="0.2">
      <c r="C65" s="2" t="s">
        <v>9</v>
      </c>
      <c r="D65">
        <f>SUM('Loss development triangles'!D65:D73)/SUM('Loss development triangles'!C65:C73)</f>
        <v>2.4509019368565976</v>
      </c>
      <c r="E65" s="6" t="s">
        <v>20</v>
      </c>
      <c r="F65">
        <f>PRODUCT(D65:D73)</f>
        <v>8.3999763429922751</v>
      </c>
    </row>
    <row r="66" spans="3:6" x14ac:dyDescent="0.2">
      <c r="C66" s="2" t="s">
        <v>10</v>
      </c>
      <c r="D66">
        <f>SUM('Loss development triangles'!E65:E72)/SUM('Loss development triangles'!D65:D72)</f>
        <v>1.6408231113249814</v>
      </c>
      <c r="E66" t="s">
        <v>21</v>
      </c>
      <c r="F66">
        <f>PRODUCT(D66:D73)</f>
        <v>3.4273000550016532</v>
      </c>
    </row>
    <row r="67" spans="3:6" x14ac:dyDescent="0.2">
      <c r="C67" s="2" t="s">
        <v>11</v>
      </c>
      <c r="D67">
        <f>SUM('Loss development triangles'!F65:F71)/SUM('Loss development triangles'!E65:E71)</f>
        <v>1.3704547482491063</v>
      </c>
      <c r="E67" t="s">
        <v>22</v>
      </c>
      <c r="F67">
        <f>PRODUCT(D67:D73)</f>
        <v>2.0887687596221589</v>
      </c>
    </row>
    <row r="68" spans="3:6" x14ac:dyDescent="0.2">
      <c r="C68" s="2" t="s">
        <v>12</v>
      </c>
      <c r="D68">
        <f>SUM('Loss development triangles'!G65:G70)/SUM('Loss development triangles'!F65:F70)</f>
        <v>1.1977142309670523</v>
      </c>
      <c r="E68" t="s">
        <v>23</v>
      </c>
      <c r="F68">
        <f>PRODUCT(D68:D73)</f>
        <v>1.5241428163102582</v>
      </c>
    </row>
    <row r="69" spans="3:6" x14ac:dyDescent="0.2">
      <c r="C69" s="2" t="s">
        <v>13</v>
      </c>
      <c r="D69">
        <f>SUM('Loss development triangles'!H65:H69)/SUM('Loss development triangles'!G65:G69)</f>
        <v>1.1156097803673994</v>
      </c>
      <c r="E69" t="s">
        <v>24</v>
      </c>
      <c r="F69">
        <f>PRODUCT(D69:D73)</f>
        <v>1.2725429630068288</v>
      </c>
    </row>
    <row r="70" spans="3:6" x14ac:dyDescent="0.2">
      <c r="C70" s="2" t="s">
        <v>14</v>
      </c>
      <c r="D70">
        <f>SUM('Loss development triangles'!I65:I68)/SUM('Loss development triangles'!H65:H68)</f>
        <v>1.0629280323779087</v>
      </c>
      <c r="E70" t="s">
        <v>25</v>
      </c>
      <c r="F70">
        <f>PRODUCT(D70:D73)</f>
        <v>1.1406703180638551</v>
      </c>
    </row>
    <row r="71" spans="3:6" x14ac:dyDescent="0.2">
      <c r="C71" s="2" t="s">
        <v>15</v>
      </c>
      <c r="D71">
        <f>SUM('Loss development triangles'!J65:J67)/SUM('Loss development triangles'!I65:I67)</f>
        <v>1.03341752043694</v>
      </c>
      <c r="E71" t="s">
        <v>26</v>
      </c>
      <c r="F71">
        <f>PRODUCT(D71:D73)</f>
        <v>1.0731397454181604</v>
      </c>
    </row>
    <row r="72" spans="3:6" x14ac:dyDescent="0.2">
      <c r="C72" s="2" t="s">
        <v>16</v>
      </c>
      <c r="D72">
        <f>SUM('Loss development triangles'!K65:K66)/SUM('Loss development triangles'!J65:J66)</f>
        <v>1.0192824663253925</v>
      </c>
      <c r="E72" t="s">
        <v>27</v>
      </c>
      <c r="F72">
        <f>PRODUCT(D72:D73)</f>
        <v>1.0384377313096311</v>
      </c>
    </row>
    <row r="73" spans="3:6" x14ac:dyDescent="0.2">
      <c r="C73" s="2" t="s">
        <v>17</v>
      </c>
      <c r="D73">
        <f>SUM('Loss development triangles'!L65)/SUM('Loss development triangles'!K65)</f>
        <v>1.0187928916832005</v>
      </c>
      <c r="E73" t="s">
        <v>28</v>
      </c>
      <c r="F73">
        <f>PRODUCT(D73)</f>
        <v>1.0187928916832005</v>
      </c>
    </row>
    <row r="74" spans="3:6" x14ac:dyDescent="0.2">
      <c r="C74" s="2" t="s">
        <v>18</v>
      </c>
      <c r="D74">
        <v>1</v>
      </c>
      <c r="E74" t="s">
        <v>29</v>
      </c>
      <c r="F74">
        <v>1</v>
      </c>
    </row>
    <row r="82" spans="3:3" x14ac:dyDescent="0.2">
      <c r="C82" s="5" t="s">
        <v>5</v>
      </c>
    </row>
    <row r="85" spans="3:3" x14ac:dyDescent="0.2">
      <c r="C85" t="s">
        <v>6</v>
      </c>
    </row>
    <row r="100" spans="3:6" x14ac:dyDescent="0.2">
      <c r="C100" s="2" t="s">
        <v>8</v>
      </c>
      <c r="E100" s="2" t="s">
        <v>19</v>
      </c>
    </row>
    <row r="101" spans="3:6" x14ac:dyDescent="0.2">
      <c r="C101" s="2" t="s">
        <v>9</v>
      </c>
      <c r="D101">
        <f>SUM('Loss development triangles'!D101:D109)/SUM('Loss development triangles'!C101:C109)</f>
        <v>1.3133903482268374</v>
      </c>
      <c r="E101" s="6" t="s">
        <v>20</v>
      </c>
      <c r="F101">
        <f>PRODUCT(D101:D109)</f>
        <v>1.4731611121018005</v>
      </c>
    </row>
    <row r="102" spans="3:6" x14ac:dyDescent="0.2">
      <c r="C102" s="2" t="s">
        <v>10</v>
      </c>
      <c r="D102">
        <f>SUM('Loss development triangles'!E101:E108)/SUM('Loss development triangles'!D101:D108)</f>
        <v>1.0433386603540047</v>
      </c>
      <c r="E102" t="s">
        <v>21</v>
      </c>
      <c r="F102">
        <f>PRODUCT(D102:D109)</f>
        <v>1.121647584886446</v>
      </c>
    </row>
    <row r="103" spans="3:6" x14ac:dyDescent="0.2">
      <c r="C103" s="2" t="s">
        <v>11</v>
      </c>
      <c r="D103">
        <f>SUM('Loss development triangles'!F101:F107)/SUM('Loss development triangles'!E101:E107)</f>
        <v>1.0208966795678882</v>
      </c>
      <c r="E103" t="s">
        <v>22</v>
      </c>
      <c r="F103">
        <f>PRODUCT(D103:D109)</f>
        <v>1.0750560939684446</v>
      </c>
    </row>
    <row r="104" spans="3:6" x14ac:dyDescent="0.2">
      <c r="C104" s="2" t="s">
        <v>12</v>
      </c>
      <c r="D104">
        <f>SUM('Loss development triangles'!G101:G106)/SUM('Loss development triangles'!F101:F106)</f>
        <v>1.0241549912029679</v>
      </c>
      <c r="E104" t="s">
        <v>23</v>
      </c>
      <c r="F104">
        <f>PRODUCT(D104:D109)</f>
        <v>1.0530508282419728</v>
      </c>
    </row>
    <row r="105" spans="3:6" x14ac:dyDescent="0.2">
      <c r="C105" s="2" t="s">
        <v>13</v>
      </c>
      <c r="D105">
        <f>SUM('Loss development triangles'!H101:H105)/SUM('Loss development triangles'!G101:G105)</f>
        <v>1.0118256256676466</v>
      </c>
      <c r="E105" t="s">
        <v>24</v>
      </c>
      <c r="F105">
        <f>PRODUCT(D105:D109)</f>
        <v>1.0282143203784653</v>
      </c>
    </row>
    <row r="106" spans="3:6" x14ac:dyDescent="0.2">
      <c r="C106" s="2" t="s">
        <v>14</v>
      </c>
      <c r="D106">
        <f>SUM('Loss development triangles'!I101:I104)/SUM('Loss development triangles'!H101:H104)</f>
        <v>1.007881196853053</v>
      </c>
      <c r="E106" t="s">
        <v>25</v>
      </c>
      <c r="F106">
        <f>PRODUCT(D106:D109)</f>
        <v>1.0161971532397243</v>
      </c>
    </row>
    <row r="107" spans="3:6" x14ac:dyDescent="0.2">
      <c r="C107" s="2" t="s">
        <v>15</v>
      </c>
      <c r="D107">
        <f>SUM('Loss development triangles'!J101:J103)/SUM('Loss development triangles'!I101:I103)</f>
        <v>1.0050064687117126</v>
      </c>
      <c r="E107" t="s">
        <v>26</v>
      </c>
      <c r="F107">
        <f>PRODUCT(D107:D109)</f>
        <v>1.0082509291895081</v>
      </c>
    </row>
    <row r="108" spans="3:6" x14ac:dyDescent="0.2">
      <c r="C108" s="2" t="s">
        <v>16</v>
      </c>
      <c r="D108">
        <f>SUM('Loss development triangles'!K101:K102)/SUM('Loss development triangles'!J101:J102)</f>
        <v>1.0013526814669838</v>
      </c>
      <c r="E108" t="s">
        <v>27</v>
      </c>
      <c r="F108">
        <f>PRODUCT(D108:D109)</f>
        <v>1.0032282981043441</v>
      </c>
    </row>
    <row r="109" spans="3:6" x14ac:dyDescent="0.2">
      <c r="C109" s="2" t="s">
        <v>17</v>
      </c>
      <c r="D109">
        <f>SUM('Loss development triangles'!L101)/SUM('Loss development triangles'!K101)</f>
        <v>1.001873082952764</v>
      </c>
      <c r="E109" t="s">
        <v>28</v>
      </c>
      <c r="F109">
        <f>PRODUCT(D109)</f>
        <v>1.001873082952764</v>
      </c>
    </row>
    <row r="110" spans="3:6" x14ac:dyDescent="0.2">
      <c r="C110" s="2" t="s">
        <v>18</v>
      </c>
      <c r="D110">
        <v>1</v>
      </c>
      <c r="E110" t="s">
        <v>29</v>
      </c>
      <c r="F110">
        <v>1</v>
      </c>
    </row>
  </sheetData>
  <sortState xmlns:xlrd2="http://schemas.microsoft.com/office/spreadsheetml/2017/richdata2" ref="G101:G110">
    <sortCondition ref="G101:G1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E4AF-7661-1E4A-80D2-9531A421CCFC}">
  <dimension ref="C6:J111"/>
  <sheetViews>
    <sheetView topLeftCell="C81" zoomScale="125" zoomScaleNormal="125" workbookViewId="0">
      <selection activeCell="J101" sqref="J101:J110"/>
    </sheetView>
  </sheetViews>
  <sheetFormatPr baseColWidth="10" defaultRowHeight="16" x14ac:dyDescent="0.2"/>
  <cols>
    <col min="3" max="3" width="12.6640625" bestFit="1" customWidth="1"/>
    <col min="4" max="4" width="25.33203125" bestFit="1" customWidth="1"/>
    <col min="5" max="5" width="39.5" bestFit="1" customWidth="1"/>
    <col min="6" max="6" width="30.6640625" bestFit="1" customWidth="1"/>
    <col min="7" max="7" width="33" bestFit="1" customWidth="1"/>
    <col min="8" max="8" width="33.1640625" bestFit="1" customWidth="1"/>
    <col min="9" max="9" width="16.5" bestFit="1" customWidth="1"/>
    <col min="10" max="10" width="19" bestFit="1" customWidth="1"/>
  </cols>
  <sheetData>
    <row r="6" spans="3:10" x14ac:dyDescent="0.2">
      <c r="C6" s="2"/>
      <c r="D6" s="2"/>
      <c r="E6" s="2"/>
      <c r="F6" s="2"/>
      <c r="G6" s="2"/>
      <c r="H6" s="2"/>
      <c r="I6" s="2"/>
      <c r="J6" s="2"/>
    </row>
    <row r="7" spans="3:10" x14ac:dyDescent="0.2">
      <c r="C7" s="2"/>
    </row>
    <row r="8" spans="3:10" x14ac:dyDescent="0.2"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 t="s">
        <v>37</v>
      </c>
    </row>
    <row r="9" spans="3:10" x14ac:dyDescent="0.2">
      <c r="C9" s="2">
        <v>2016</v>
      </c>
      <c r="D9" s="4">
        <v>17714740</v>
      </c>
      <c r="E9">
        <v>9</v>
      </c>
      <c r="F9">
        <v>1</v>
      </c>
      <c r="G9">
        <f t="shared" ref="G9:G18" si="0">PRODUCT(D9,F9)</f>
        <v>17714740</v>
      </c>
      <c r="H9">
        <f t="shared" ref="H9:H18" si="1">G9-D9</f>
        <v>0</v>
      </c>
      <c r="I9" s="3">
        <v>28365742</v>
      </c>
      <c r="J9" s="7">
        <f>(G9/I9)*100</f>
        <v>62.451177903260913</v>
      </c>
    </row>
    <row r="10" spans="3:10" x14ac:dyDescent="0.2">
      <c r="C10" s="2">
        <v>2017</v>
      </c>
      <c r="D10" s="4">
        <v>17796939</v>
      </c>
      <c r="E10">
        <v>8</v>
      </c>
      <c r="F10">
        <v>1.0016222957214636</v>
      </c>
      <c r="G10">
        <f t="shared" si="0"/>
        <v>17825810.897994846</v>
      </c>
      <c r="H10" s="7">
        <f t="shared" si="1"/>
        <v>28871.897994846106</v>
      </c>
      <c r="I10" s="3">
        <v>29036977</v>
      </c>
      <c r="J10" s="7">
        <f t="shared" ref="J10:J19" si="2">(G10/I10)*100</f>
        <v>61.390036910504996</v>
      </c>
    </row>
    <row r="11" spans="3:10" x14ac:dyDescent="0.2">
      <c r="C11" s="2">
        <v>2018</v>
      </c>
      <c r="D11" s="4">
        <v>18446344</v>
      </c>
      <c r="E11">
        <v>7</v>
      </c>
      <c r="F11">
        <v>1.0045039148334876</v>
      </c>
      <c r="G11">
        <f t="shared" si="0"/>
        <v>18529424.762365215</v>
      </c>
      <c r="H11" s="7">
        <f t="shared" si="1"/>
        <v>83080.762365214527</v>
      </c>
      <c r="I11" s="3">
        <v>30384610</v>
      </c>
      <c r="J11" s="7">
        <f t="shared" si="2"/>
        <v>60.982927746530933</v>
      </c>
    </row>
    <row r="12" spans="3:10" x14ac:dyDescent="0.2">
      <c r="C12" s="2">
        <v>2019</v>
      </c>
      <c r="D12" s="4">
        <v>19879787</v>
      </c>
      <c r="E12">
        <v>6</v>
      </c>
      <c r="F12">
        <v>1.0099595403406276</v>
      </c>
      <c r="G12">
        <f t="shared" si="0"/>
        <v>20077780.540589586</v>
      </c>
      <c r="H12" s="7">
        <f t="shared" si="1"/>
        <v>197993.5405895859</v>
      </c>
      <c r="I12" s="3">
        <v>32154348</v>
      </c>
      <c r="J12" s="7">
        <f t="shared" si="2"/>
        <v>62.441883569181954</v>
      </c>
    </row>
    <row r="13" spans="3:10" x14ac:dyDescent="0.2">
      <c r="C13" s="2">
        <v>2020</v>
      </c>
      <c r="D13" s="4">
        <v>18173277</v>
      </c>
      <c r="E13">
        <v>5</v>
      </c>
      <c r="F13">
        <v>1.0209243391479952</v>
      </c>
      <c r="G13">
        <f t="shared" si="0"/>
        <v>18553540.81137846</v>
      </c>
      <c r="H13" s="7">
        <f t="shared" si="1"/>
        <v>380263.81137846038</v>
      </c>
      <c r="I13" s="3">
        <v>32004143</v>
      </c>
      <c r="J13" s="7">
        <f t="shared" si="2"/>
        <v>57.97230943312077</v>
      </c>
    </row>
    <row r="14" spans="3:10" x14ac:dyDescent="0.2">
      <c r="C14" s="2">
        <v>2021</v>
      </c>
      <c r="D14" s="4">
        <v>24022657</v>
      </c>
      <c r="E14">
        <v>4</v>
      </c>
      <c r="F14">
        <v>1.038178659763791</v>
      </c>
      <c r="G14">
        <f t="shared" si="0"/>
        <v>24939809.848225251</v>
      </c>
      <c r="H14" s="7">
        <f t="shared" si="1"/>
        <v>917152.84822525084</v>
      </c>
      <c r="I14" s="3">
        <v>35836933</v>
      </c>
      <c r="J14" s="7">
        <f t="shared" si="2"/>
        <v>69.592478374824239</v>
      </c>
    </row>
    <row r="15" spans="3:10" x14ac:dyDescent="0.2">
      <c r="C15" s="2">
        <v>2022</v>
      </c>
      <c r="D15" s="4">
        <v>26753730</v>
      </c>
      <c r="E15">
        <v>3</v>
      </c>
      <c r="F15">
        <v>1.0708341365398564</v>
      </c>
      <c r="G15">
        <f t="shared" si="0"/>
        <v>28648807.363770451</v>
      </c>
      <c r="H15" s="7">
        <f t="shared" si="1"/>
        <v>1895077.3637704514</v>
      </c>
      <c r="I15" s="3">
        <v>39258018</v>
      </c>
      <c r="J15" s="7">
        <f t="shared" si="2"/>
        <v>72.975684518180344</v>
      </c>
    </row>
    <row r="16" spans="3:10" x14ac:dyDescent="0.2">
      <c r="C16" s="2">
        <v>2023</v>
      </c>
      <c r="D16" s="4">
        <v>28385184</v>
      </c>
      <c r="E16">
        <v>2</v>
      </c>
      <c r="F16">
        <v>1.1264871230743601</v>
      </c>
      <c r="G16">
        <f t="shared" si="0"/>
        <v>31975544.262096357</v>
      </c>
      <c r="H16" s="7">
        <f t="shared" si="1"/>
        <v>3590360.2620963566</v>
      </c>
      <c r="I16" s="3">
        <v>43412876</v>
      </c>
      <c r="J16" s="7">
        <f t="shared" si="2"/>
        <v>73.654517295966187</v>
      </c>
    </row>
    <row r="17" spans="3:10" x14ac:dyDescent="0.2">
      <c r="C17" s="2">
        <v>2024</v>
      </c>
      <c r="D17" s="4">
        <v>25767725</v>
      </c>
      <c r="E17">
        <v>1</v>
      </c>
      <c r="F17">
        <v>1.2323936361712351</v>
      </c>
      <c r="G17">
        <f t="shared" si="0"/>
        <v>31755980.308610439</v>
      </c>
      <c r="H17" s="7">
        <f t="shared" si="1"/>
        <v>5988255.3086104393</v>
      </c>
      <c r="I17" s="3">
        <v>48919086</v>
      </c>
      <c r="J17" s="7">
        <f t="shared" si="2"/>
        <v>64.915318141083915</v>
      </c>
    </row>
    <row r="18" spans="3:10" x14ac:dyDescent="0.2">
      <c r="C18" s="2">
        <v>2025</v>
      </c>
      <c r="D18" s="4">
        <v>18654478</v>
      </c>
      <c r="E18">
        <v>0</v>
      </c>
      <c r="F18">
        <v>1.6845808941122598</v>
      </c>
      <c r="G18">
        <f t="shared" si="0"/>
        <v>31424977.22843748</v>
      </c>
      <c r="H18" s="7">
        <f t="shared" si="1"/>
        <v>12770499.22843748</v>
      </c>
      <c r="I18" s="3">
        <v>52969368</v>
      </c>
      <c r="J18" s="7">
        <f>(G18/I18)*100</f>
        <v>59.326698457941731</v>
      </c>
    </row>
    <row r="19" spans="3:10" x14ac:dyDescent="0.2">
      <c r="F19" s="2" t="s">
        <v>38</v>
      </c>
      <c r="G19" s="2">
        <f>SUM(G9:G18)</f>
        <v>241446416.02346808</v>
      </c>
      <c r="H19" s="8">
        <f>SUM(H9:H18)</f>
        <v>25851555.023468085</v>
      </c>
      <c r="I19" s="9">
        <f>SUM(I9:I18)</f>
        <v>372342101</v>
      </c>
      <c r="J19" s="8">
        <f t="shared" si="2"/>
        <v>64.845317082063758</v>
      </c>
    </row>
    <row r="28" spans="3:10" x14ac:dyDescent="0.2"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34</v>
      </c>
      <c r="H28" s="2" t="s">
        <v>35</v>
      </c>
      <c r="I28" s="2" t="s">
        <v>36</v>
      </c>
      <c r="J28" s="2" t="s">
        <v>37</v>
      </c>
    </row>
    <row r="29" spans="3:10" x14ac:dyDescent="0.2">
      <c r="C29" s="2">
        <v>2016</v>
      </c>
      <c r="D29" s="4">
        <v>3921589</v>
      </c>
      <c r="E29">
        <v>9</v>
      </c>
      <c r="F29">
        <v>1</v>
      </c>
      <c r="G29">
        <f t="shared" ref="G29:G38" si="3">PRODUCT(D29,F29)</f>
        <v>3921589</v>
      </c>
      <c r="H29">
        <f t="shared" ref="H29:H38" si="4">G29-D29</f>
        <v>0</v>
      </c>
      <c r="I29" s="3">
        <v>7213328</v>
      </c>
      <c r="J29" s="7">
        <f>(G29/I29)*100</f>
        <v>54.365876610629662</v>
      </c>
    </row>
    <row r="30" spans="3:10" x14ac:dyDescent="0.2">
      <c r="C30" s="2">
        <v>2017</v>
      </c>
      <c r="D30" s="4">
        <v>4289311</v>
      </c>
      <c r="E30">
        <v>8</v>
      </c>
      <c r="F30">
        <v>1.0012150131611532</v>
      </c>
      <c r="G30">
        <f t="shared" si="3"/>
        <v>4294522.5693172794</v>
      </c>
      <c r="H30" s="7">
        <f t="shared" si="4"/>
        <v>5211.5693172793835</v>
      </c>
      <c r="I30" s="3">
        <v>7252088</v>
      </c>
      <c r="J30" s="7">
        <f t="shared" ref="J30:J37" si="5">(G30/I30)*100</f>
        <v>59.217739350615709</v>
      </c>
    </row>
    <row r="31" spans="3:10" x14ac:dyDescent="0.2">
      <c r="C31" s="2">
        <v>2018</v>
      </c>
      <c r="D31" s="4">
        <v>4428696</v>
      </c>
      <c r="E31">
        <v>7</v>
      </c>
      <c r="F31">
        <v>1.0022865350582379</v>
      </c>
      <c r="G31">
        <f t="shared" si="3"/>
        <v>4438822.3686662782</v>
      </c>
      <c r="H31" s="7">
        <f t="shared" si="4"/>
        <v>10126.368666278198</v>
      </c>
      <c r="I31" s="3">
        <v>7409282</v>
      </c>
      <c r="J31" s="7">
        <f t="shared" si="5"/>
        <v>59.908940821341098</v>
      </c>
    </row>
    <row r="32" spans="3:10" x14ac:dyDescent="0.2">
      <c r="C32" s="2">
        <v>2019</v>
      </c>
      <c r="D32" s="4">
        <v>4590735</v>
      </c>
      <c r="E32">
        <v>6</v>
      </c>
      <c r="F32">
        <v>1.0039983172712774</v>
      </c>
      <c r="G32">
        <f t="shared" si="3"/>
        <v>4609090.2150383573</v>
      </c>
      <c r="H32" s="7">
        <f t="shared" si="4"/>
        <v>18355.215038357303</v>
      </c>
      <c r="I32" s="3">
        <v>7822918</v>
      </c>
      <c r="J32" s="7">
        <f t="shared" si="5"/>
        <v>58.917787646992558</v>
      </c>
    </row>
    <row r="33" spans="3:10" x14ac:dyDescent="0.2">
      <c r="C33" s="2">
        <v>2020</v>
      </c>
      <c r="D33" s="4">
        <v>5400944</v>
      </c>
      <c r="E33">
        <v>5</v>
      </c>
      <c r="F33">
        <v>1.0064809114039137</v>
      </c>
      <c r="G33">
        <f t="shared" si="3"/>
        <v>5435947.0395614989</v>
      </c>
      <c r="H33" s="7">
        <f t="shared" si="4"/>
        <v>35003.03956149891</v>
      </c>
      <c r="I33" s="3">
        <v>8187778</v>
      </c>
      <c r="J33" s="7">
        <f t="shared" si="5"/>
        <v>66.390992031800309</v>
      </c>
    </row>
    <row r="34" spans="3:10" x14ac:dyDescent="0.2">
      <c r="C34" s="2">
        <v>2021</v>
      </c>
      <c r="D34" s="4">
        <v>6023524</v>
      </c>
      <c r="E34">
        <v>4</v>
      </c>
      <c r="F34">
        <v>1.0098249954416985</v>
      </c>
      <c r="G34">
        <f t="shared" si="3"/>
        <v>6082705.0958429612</v>
      </c>
      <c r="H34" s="7">
        <f t="shared" si="4"/>
        <v>59181.095842961222</v>
      </c>
      <c r="I34" s="3">
        <v>8524429</v>
      </c>
      <c r="J34" s="7">
        <f t="shared" si="5"/>
        <v>71.356158821229684</v>
      </c>
    </row>
    <row r="35" spans="3:10" x14ac:dyDescent="0.2">
      <c r="C35" s="2">
        <v>2022</v>
      </c>
      <c r="D35" s="4">
        <v>5934200</v>
      </c>
      <c r="E35">
        <v>3</v>
      </c>
      <c r="F35">
        <v>1.0191528853960217</v>
      </c>
      <c r="G35">
        <f t="shared" si="3"/>
        <v>6047857.0525170714</v>
      </c>
      <c r="H35" s="7">
        <f t="shared" si="4"/>
        <v>113657.05251707137</v>
      </c>
      <c r="I35" s="3">
        <v>9723000</v>
      </c>
      <c r="J35" s="7">
        <f t="shared" si="5"/>
        <v>62.201553558748031</v>
      </c>
    </row>
    <row r="36" spans="3:10" x14ac:dyDescent="0.2">
      <c r="C36" s="2">
        <v>2023</v>
      </c>
      <c r="D36" s="4">
        <v>7680906</v>
      </c>
      <c r="E36">
        <v>2</v>
      </c>
      <c r="F36">
        <v>1.028831211908084</v>
      </c>
      <c r="G36">
        <f t="shared" si="3"/>
        <v>7902355.8285320736</v>
      </c>
      <c r="H36" s="7">
        <f t="shared" si="4"/>
        <v>221449.82853207365</v>
      </c>
      <c r="I36" s="3">
        <v>10949703</v>
      </c>
      <c r="J36" s="7">
        <f t="shared" si="5"/>
        <v>72.169590613846552</v>
      </c>
    </row>
    <row r="37" spans="3:10" x14ac:dyDescent="0.2">
      <c r="C37" s="2">
        <v>2024</v>
      </c>
      <c r="D37" s="4">
        <v>7451121</v>
      </c>
      <c r="E37">
        <v>1</v>
      </c>
      <c r="F37">
        <v>1.063931596325173</v>
      </c>
      <c r="G37">
        <f t="shared" si="3"/>
        <v>7927483.0599420192</v>
      </c>
      <c r="H37" s="7">
        <f t="shared" si="4"/>
        <v>476362.05994201917</v>
      </c>
      <c r="I37" s="3">
        <v>12616712</v>
      </c>
      <c r="J37" s="7">
        <f t="shared" si="5"/>
        <v>62.833193465476732</v>
      </c>
    </row>
    <row r="38" spans="3:10" x14ac:dyDescent="0.2">
      <c r="C38" s="2">
        <v>2025</v>
      </c>
      <c r="D38" s="4">
        <v>5725112</v>
      </c>
      <c r="E38">
        <v>0</v>
      </c>
      <c r="F38">
        <v>1.4291578279504527</v>
      </c>
      <c r="G38">
        <f t="shared" si="3"/>
        <v>8182088.6306930715</v>
      </c>
      <c r="H38" s="7">
        <f t="shared" si="4"/>
        <v>2456976.6306930715</v>
      </c>
      <c r="I38" s="3">
        <v>14516952</v>
      </c>
      <c r="J38" s="7">
        <f>(G38/I38)*100</f>
        <v>56.362304088992452</v>
      </c>
    </row>
    <row r="39" spans="3:10" x14ac:dyDescent="0.2">
      <c r="D39" s="4"/>
      <c r="F39" s="2" t="s">
        <v>38</v>
      </c>
      <c r="G39" s="2">
        <f>SUM(G29:G38)</f>
        <v>58842460.860110618</v>
      </c>
      <c r="H39" s="8">
        <f>SUM(H29:H38)</f>
        <v>3396322.8601106107</v>
      </c>
      <c r="I39" s="9">
        <f>SUM(I29:I38)</f>
        <v>94216190</v>
      </c>
      <c r="J39" s="8">
        <f t="shared" ref="J39" si="6">(G39/I39)*100</f>
        <v>62.454723397444347</v>
      </c>
    </row>
    <row r="46" spans="3:10" x14ac:dyDescent="0.2">
      <c r="C46" s="2" t="s">
        <v>30</v>
      </c>
      <c r="D46" s="2" t="s">
        <v>31</v>
      </c>
      <c r="E46" s="2" t="s">
        <v>32</v>
      </c>
      <c r="F46" s="2" t="s">
        <v>33</v>
      </c>
      <c r="G46" s="2" t="s">
        <v>34</v>
      </c>
      <c r="H46" s="2" t="s">
        <v>35</v>
      </c>
      <c r="I46" s="2" t="s">
        <v>36</v>
      </c>
      <c r="J46" s="2" t="s">
        <v>37</v>
      </c>
    </row>
    <row r="47" spans="3:10" x14ac:dyDescent="0.2">
      <c r="C47" s="2">
        <v>2016</v>
      </c>
      <c r="D47" s="4">
        <v>8105529</v>
      </c>
      <c r="E47">
        <v>9</v>
      </c>
      <c r="F47">
        <v>1</v>
      </c>
      <c r="G47">
        <f t="shared" ref="G47:G56" si="7">PRODUCT(D47,F47)</f>
        <v>8105529</v>
      </c>
      <c r="H47">
        <f t="shared" ref="H47:H56" si="8">G47-D47</f>
        <v>0</v>
      </c>
      <c r="I47" s="3">
        <v>11336988</v>
      </c>
      <c r="J47" s="7">
        <f>(G47/I47)*100</f>
        <v>71.496318069667183</v>
      </c>
    </row>
    <row r="48" spans="3:10" x14ac:dyDescent="0.2">
      <c r="C48" s="2">
        <v>2017</v>
      </c>
      <c r="D48" s="4">
        <v>7883522</v>
      </c>
      <c r="E48">
        <v>8</v>
      </c>
      <c r="F48">
        <v>1.002042277366733</v>
      </c>
      <c r="G48">
        <f t="shared" si="7"/>
        <v>7899622.3385507418</v>
      </c>
      <c r="H48" s="7">
        <f t="shared" si="8"/>
        <v>16100.338550741784</v>
      </c>
      <c r="I48" s="3">
        <v>11837624</v>
      </c>
      <c r="J48" s="7">
        <f t="shared" ref="J48:J55" si="9">(G48/I48)*100</f>
        <v>66.733174989767733</v>
      </c>
    </row>
    <row r="49" spans="3:10" x14ac:dyDescent="0.2">
      <c r="C49" s="2">
        <v>2018</v>
      </c>
      <c r="D49" s="4">
        <v>8252686</v>
      </c>
      <c r="E49">
        <v>7</v>
      </c>
      <c r="F49">
        <v>1.006669006746961</v>
      </c>
      <c r="G49">
        <f t="shared" si="7"/>
        <v>8307723.2186145512</v>
      </c>
      <c r="H49" s="7">
        <f t="shared" si="8"/>
        <v>55037.218614551239</v>
      </c>
      <c r="I49" s="3">
        <v>12381799</v>
      </c>
      <c r="J49" s="7">
        <f t="shared" si="9"/>
        <v>67.09625328770521</v>
      </c>
    </row>
    <row r="50" spans="3:10" x14ac:dyDescent="0.2">
      <c r="C50" s="2">
        <v>2019</v>
      </c>
      <c r="D50" s="4">
        <v>8869267</v>
      </c>
      <c r="E50">
        <v>6</v>
      </c>
      <c r="F50">
        <v>1.0160277950484757</v>
      </c>
      <c r="G50">
        <f t="shared" si="7"/>
        <v>9011421.7937062085</v>
      </c>
      <c r="H50" s="7">
        <f t="shared" si="8"/>
        <v>142154.79370620847</v>
      </c>
      <c r="I50" s="3">
        <v>12827570</v>
      </c>
      <c r="J50" s="7">
        <f t="shared" si="9"/>
        <v>70.250419944745644</v>
      </c>
    </row>
    <row r="51" spans="3:10" x14ac:dyDescent="0.2">
      <c r="C51" s="2">
        <v>2020</v>
      </c>
      <c r="D51" s="4">
        <v>7056466</v>
      </c>
      <c r="E51">
        <v>5</v>
      </c>
      <c r="F51">
        <v>1.035396080091652</v>
      </c>
      <c r="G51">
        <f t="shared" si="7"/>
        <v>7306237.2357000187</v>
      </c>
      <c r="H51" s="7">
        <f t="shared" si="8"/>
        <v>249771.2357000187</v>
      </c>
      <c r="I51" s="3">
        <v>12336855</v>
      </c>
      <c r="J51" s="7">
        <f t="shared" si="9"/>
        <v>59.222850845697863</v>
      </c>
    </row>
    <row r="52" spans="3:10" x14ac:dyDescent="0.2">
      <c r="C52" s="2">
        <v>2021</v>
      </c>
      <c r="D52" s="4">
        <v>9521686</v>
      </c>
      <c r="E52">
        <v>4</v>
      </c>
      <c r="F52">
        <v>1.0663787119739876</v>
      </c>
      <c r="G52">
        <f t="shared" si="7"/>
        <v>10153723.25250075</v>
      </c>
      <c r="H52" s="7">
        <f t="shared" si="8"/>
        <v>632037.25250075012</v>
      </c>
      <c r="I52" s="3">
        <v>13449965</v>
      </c>
      <c r="J52" s="7">
        <f t="shared" si="9"/>
        <v>75.492562638644415</v>
      </c>
    </row>
    <row r="53" spans="3:10" x14ac:dyDescent="0.2">
      <c r="C53" s="2">
        <v>2022</v>
      </c>
      <c r="D53" s="4">
        <v>10740399</v>
      </c>
      <c r="E53">
        <v>3</v>
      </c>
      <c r="F53">
        <v>1.1283404529485537</v>
      </c>
      <c r="G53">
        <f t="shared" si="7"/>
        <v>12118826.672508193</v>
      </c>
      <c r="H53" s="7">
        <f t="shared" si="8"/>
        <v>1378427.6725081932</v>
      </c>
      <c r="I53" s="3">
        <v>14619643</v>
      </c>
      <c r="J53" s="7">
        <f t="shared" si="9"/>
        <v>82.894135462187364</v>
      </c>
    </row>
    <row r="54" spans="3:10" x14ac:dyDescent="0.2">
      <c r="C54" s="2">
        <v>2023</v>
      </c>
      <c r="D54" s="4">
        <v>10699665</v>
      </c>
      <c r="E54">
        <v>2</v>
      </c>
      <c r="F54">
        <v>1.2521923441882363</v>
      </c>
      <c r="G54">
        <f t="shared" si="7"/>
        <v>13398038.598378826</v>
      </c>
      <c r="H54" s="7">
        <f t="shared" si="8"/>
        <v>2698373.5983788259</v>
      </c>
      <c r="I54" s="3">
        <v>16660394</v>
      </c>
      <c r="J54" s="7">
        <f t="shared" si="9"/>
        <v>80.418497896141147</v>
      </c>
    </row>
    <row r="55" spans="3:10" x14ac:dyDescent="0.2">
      <c r="C55" s="2">
        <v>2024</v>
      </c>
      <c r="D55" s="4">
        <v>9031737</v>
      </c>
      <c r="E55">
        <v>1</v>
      </c>
      <c r="F55">
        <v>1.5315795027405696</v>
      </c>
      <c r="G55">
        <f t="shared" si="7"/>
        <v>13832823.263343604</v>
      </c>
      <c r="H55" s="7">
        <f t="shared" si="8"/>
        <v>4801086.2633436043</v>
      </c>
      <c r="I55" s="3">
        <v>18993672</v>
      </c>
      <c r="J55" s="7">
        <f t="shared" si="9"/>
        <v>72.828588718093073</v>
      </c>
    </row>
    <row r="56" spans="3:10" x14ac:dyDescent="0.2">
      <c r="C56" s="2">
        <v>2025</v>
      </c>
      <c r="D56" s="4">
        <v>5098536</v>
      </c>
      <c r="E56">
        <v>0</v>
      </c>
      <c r="F56">
        <v>2.8897685821909334</v>
      </c>
      <c r="G56">
        <f t="shared" si="7"/>
        <v>14733589.147969432</v>
      </c>
      <c r="H56" s="7">
        <f t="shared" si="8"/>
        <v>9635053.1479694322</v>
      </c>
      <c r="I56" s="3">
        <v>20474091</v>
      </c>
      <c r="J56" s="7">
        <f>(G56/I56)*100</f>
        <v>71.962116159244545</v>
      </c>
    </row>
    <row r="57" spans="3:10" x14ac:dyDescent="0.2">
      <c r="F57" s="2" t="s">
        <v>38</v>
      </c>
      <c r="G57" s="2">
        <f>SUM(G47:G56)</f>
        <v>104867534.52127233</v>
      </c>
      <c r="H57" s="8">
        <f>SUM(H47:H56)</f>
        <v>19608041.521272324</v>
      </c>
      <c r="I57" s="9">
        <f>SUM(I47:I56)</f>
        <v>144918601</v>
      </c>
      <c r="J57" s="8">
        <f t="shared" ref="J57" si="10">(G57/I57)*100</f>
        <v>72.363060226666363</v>
      </c>
    </row>
    <row r="64" spans="3:10" x14ac:dyDescent="0.2">
      <c r="C64" s="2" t="s">
        <v>30</v>
      </c>
      <c r="D64" s="2" t="s">
        <v>31</v>
      </c>
      <c r="E64" s="2" t="s">
        <v>32</v>
      </c>
      <c r="F64" s="2" t="s">
        <v>33</v>
      </c>
      <c r="G64" s="2" t="s">
        <v>34</v>
      </c>
      <c r="H64" s="2" t="s">
        <v>35</v>
      </c>
      <c r="I64" s="2" t="s">
        <v>36</v>
      </c>
      <c r="J64" s="2" t="s">
        <v>37</v>
      </c>
    </row>
    <row r="65" spans="3:10" x14ac:dyDescent="0.2">
      <c r="C65" s="2">
        <v>2016</v>
      </c>
      <c r="D65" s="4">
        <v>237230</v>
      </c>
      <c r="E65">
        <v>9</v>
      </c>
      <c r="F65">
        <v>1</v>
      </c>
      <c r="G65">
        <f t="shared" ref="G65:G74" si="11">PRODUCT(D65,F65)</f>
        <v>237230</v>
      </c>
      <c r="H65">
        <f t="shared" ref="H65:H74" si="12">G65-D65</f>
        <v>0</v>
      </c>
      <c r="I65" s="3">
        <v>255426</v>
      </c>
      <c r="J65" s="7">
        <f>(G65/I65)*100</f>
        <v>92.87621463750753</v>
      </c>
    </row>
    <row r="66" spans="3:10" x14ac:dyDescent="0.2">
      <c r="C66" s="2">
        <v>2017</v>
      </c>
      <c r="D66" s="4">
        <v>194841</v>
      </c>
      <c r="E66">
        <v>8</v>
      </c>
      <c r="F66">
        <v>1.0187928916832005</v>
      </c>
      <c r="G66">
        <f t="shared" si="11"/>
        <v>198502.62580844646</v>
      </c>
      <c r="H66" s="7">
        <f t="shared" si="12"/>
        <v>3661.6258084464644</v>
      </c>
      <c r="I66" s="3">
        <v>260211</v>
      </c>
      <c r="J66" s="7">
        <f t="shared" ref="J66:J73" si="13">(G66/I66)*100</f>
        <v>76.285255353711591</v>
      </c>
    </row>
    <row r="67" spans="3:10" x14ac:dyDescent="0.2">
      <c r="C67" s="2">
        <v>2018</v>
      </c>
      <c r="D67" s="4">
        <v>275175</v>
      </c>
      <c r="E67">
        <v>7</v>
      </c>
      <c r="F67">
        <v>1.0384377313096311</v>
      </c>
      <c r="G67">
        <f t="shared" si="11"/>
        <v>285752.10271312774</v>
      </c>
      <c r="H67" s="7">
        <f t="shared" si="12"/>
        <v>10577.102713127737</v>
      </c>
      <c r="I67" s="3">
        <v>360958</v>
      </c>
      <c r="J67" s="7">
        <f t="shared" si="13"/>
        <v>79.164917445555361</v>
      </c>
    </row>
    <row r="68" spans="3:10" x14ac:dyDescent="0.2">
      <c r="C68" s="2">
        <v>2019</v>
      </c>
      <c r="D68" s="4">
        <v>451221</v>
      </c>
      <c r="E68">
        <v>6</v>
      </c>
      <c r="F68">
        <v>1.0731397454181604</v>
      </c>
      <c r="G68">
        <f t="shared" si="11"/>
        <v>484223.18906732777</v>
      </c>
      <c r="H68" s="7">
        <f t="shared" si="12"/>
        <v>33002.189067327767</v>
      </c>
      <c r="I68" s="3">
        <v>540525</v>
      </c>
      <c r="J68" s="7">
        <f t="shared" si="13"/>
        <v>89.58386551358916</v>
      </c>
    </row>
    <row r="69" spans="3:10" x14ac:dyDescent="0.2">
      <c r="C69" s="2">
        <v>2020</v>
      </c>
      <c r="D69" s="4">
        <v>355625</v>
      </c>
      <c r="E69">
        <v>5</v>
      </c>
      <c r="F69">
        <v>1.1406703180638551</v>
      </c>
      <c r="G69">
        <f t="shared" si="11"/>
        <v>405650.88186145847</v>
      </c>
      <c r="H69" s="7">
        <f t="shared" si="12"/>
        <v>50025.881861458474</v>
      </c>
      <c r="I69" s="3">
        <v>464213</v>
      </c>
      <c r="J69" s="7">
        <f t="shared" si="13"/>
        <v>87.384644949938604</v>
      </c>
    </row>
    <row r="70" spans="3:10" x14ac:dyDescent="0.2">
      <c r="C70" s="2">
        <v>2021</v>
      </c>
      <c r="D70" s="4">
        <v>633937</v>
      </c>
      <c r="E70">
        <v>4</v>
      </c>
      <c r="F70">
        <v>1.2725429630068288</v>
      </c>
      <c r="G70">
        <f t="shared" si="11"/>
        <v>806712.06833966007</v>
      </c>
      <c r="H70" s="7">
        <f t="shared" si="12"/>
        <v>172775.06833966007</v>
      </c>
      <c r="I70" s="3">
        <v>658255</v>
      </c>
      <c r="J70" s="7">
        <f t="shared" si="13"/>
        <v>122.55312429676341</v>
      </c>
    </row>
    <row r="71" spans="3:10" x14ac:dyDescent="0.2">
      <c r="C71" s="2">
        <v>2022</v>
      </c>
      <c r="D71" s="4">
        <v>579071</v>
      </c>
      <c r="E71">
        <v>3</v>
      </c>
      <c r="F71">
        <v>1.5241428163102582</v>
      </c>
      <c r="G71">
        <f t="shared" si="11"/>
        <v>882586.90478359745</v>
      </c>
      <c r="H71" s="7">
        <f t="shared" si="12"/>
        <v>303515.90478359745</v>
      </c>
      <c r="I71" s="3">
        <v>776912</v>
      </c>
      <c r="J71" s="7">
        <f t="shared" si="13"/>
        <v>113.60191434597451</v>
      </c>
    </row>
    <row r="72" spans="3:10" x14ac:dyDescent="0.2">
      <c r="C72" s="2">
        <v>2023</v>
      </c>
      <c r="D72" s="4">
        <v>288378</v>
      </c>
      <c r="E72">
        <v>2</v>
      </c>
      <c r="F72">
        <v>2.0887687596221589</v>
      </c>
      <c r="G72">
        <f t="shared" si="11"/>
        <v>602354.95736231899</v>
      </c>
      <c r="H72" s="7">
        <f t="shared" si="12"/>
        <v>313976.95736231899</v>
      </c>
      <c r="I72" s="3">
        <v>508036</v>
      </c>
      <c r="J72" s="7">
        <f t="shared" si="13"/>
        <v>118.56540823136923</v>
      </c>
    </row>
    <row r="73" spans="3:10" x14ac:dyDescent="0.2">
      <c r="C73" s="2">
        <v>2024</v>
      </c>
      <c r="D73" s="4">
        <v>114453</v>
      </c>
      <c r="E73">
        <v>1</v>
      </c>
      <c r="F73">
        <v>3.4273000550016532</v>
      </c>
      <c r="G73">
        <f t="shared" si="11"/>
        <v>392264.77319510421</v>
      </c>
      <c r="H73" s="7">
        <f t="shared" si="12"/>
        <v>277811.77319510421</v>
      </c>
      <c r="I73" s="3">
        <v>369985</v>
      </c>
      <c r="J73" s="7">
        <f t="shared" si="13"/>
        <v>106.02180445020856</v>
      </c>
    </row>
    <row r="74" spans="3:10" x14ac:dyDescent="0.2">
      <c r="C74" s="2">
        <v>2025</v>
      </c>
      <c r="D74" s="4">
        <v>40714</v>
      </c>
      <c r="E74">
        <v>0</v>
      </c>
      <c r="F74">
        <v>8.3999763429922751</v>
      </c>
      <c r="G74">
        <f t="shared" si="11"/>
        <v>341996.63682858751</v>
      </c>
      <c r="H74" s="7">
        <f t="shared" si="12"/>
        <v>301282.63682858751</v>
      </c>
      <c r="I74" s="3">
        <v>271591</v>
      </c>
      <c r="J74" s="7">
        <f>(G74/I74)*100</f>
        <v>125.92340571984622</v>
      </c>
    </row>
    <row r="75" spans="3:10" x14ac:dyDescent="0.2">
      <c r="F75" s="2" t="s">
        <v>38</v>
      </c>
      <c r="G75" s="2">
        <f>SUM(G65:G74)</f>
        <v>4637274.1399596287</v>
      </c>
      <c r="H75" s="8">
        <f>SUM(H65:H74)</f>
        <v>1466629.1399596287</v>
      </c>
      <c r="I75" s="9">
        <f>SUM(I65:I74)</f>
        <v>4466112</v>
      </c>
      <c r="J75" s="8">
        <f t="shared" ref="J75" si="14">(G75/I75)*100</f>
        <v>103.83246412001374</v>
      </c>
    </row>
    <row r="82" spans="3:10" x14ac:dyDescent="0.2">
      <c r="C82" s="2" t="s">
        <v>30</v>
      </c>
      <c r="D82" s="2" t="s">
        <v>31</v>
      </c>
      <c r="E82" s="2" t="s">
        <v>32</v>
      </c>
      <c r="F82" s="2" t="s">
        <v>33</v>
      </c>
      <c r="G82" s="2" t="s">
        <v>34</v>
      </c>
      <c r="H82" s="2" t="s">
        <v>35</v>
      </c>
      <c r="I82" s="2" t="s">
        <v>36</v>
      </c>
      <c r="J82" s="2" t="s">
        <v>37</v>
      </c>
    </row>
    <row r="83" spans="3:10" x14ac:dyDescent="0.2">
      <c r="C83" s="2">
        <v>2016</v>
      </c>
    </row>
    <row r="84" spans="3:10" x14ac:dyDescent="0.2">
      <c r="C84" s="2">
        <v>2017</v>
      </c>
      <c r="E84" s="5" t="s">
        <v>5</v>
      </c>
    </row>
    <row r="85" spans="3:10" x14ac:dyDescent="0.2">
      <c r="C85" s="2">
        <v>2018</v>
      </c>
      <c r="E85" t="s">
        <v>6</v>
      </c>
    </row>
    <row r="86" spans="3:10" x14ac:dyDescent="0.2">
      <c r="C86" s="2">
        <v>2019</v>
      </c>
    </row>
    <row r="87" spans="3:10" x14ac:dyDescent="0.2">
      <c r="C87" s="2">
        <v>2020</v>
      </c>
    </row>
    <row r="88" spans="3:10" x14ac:dyDescent="0.2">
      <c r="C88" s="2">
        <v>2021</v>
      </c>
    </row>
    <row r="89" spans="3:10" x14ac:dyDescent="0.2">
      <c r="C89" s="2">
        <v>2022</v>
      </c>
    </row>
    <row r="90" spans="3:10" x14ac:dyDescent="0.2">
      <c r="C90" s="2">
        <v>2023</v>
      </c>
    </row>
    <row r="91" spans="3:10" x14ac:dyDescent="0.2">
      <c r="C91" s="2">
        <v>2024</v>
      </c>
    </row>
    <row r="92" spans="3:10" x14ac:dyDescent="0.2">
      <c r="C92" s="2">
        <v>2025</v>
      </c>
    </row>
    <row r="100" spans="3:10" x14ac:dyDescent="0.2">
      <c r="C100" s="2" t="s">
        <v>30</v>
      </c>
      <c r="D100" s="2" t="s">
        <v>31</v>
      </c>
      <c r="E100" s="2" t="s">
        <v>32</v>
      </c>
      <c r="F100" s="2" t="s">
        <v>33</v>
      </c>
      <c r="G100" s="2" t="s">
        <v>34</v>
      </c>
      <c r="H100" s="2" t="s">
        <v>35</v>
      </c>
      <c r="I100" s="2" t="s">
        <v>36</v>
      </c>
      <c r="J100" s="2" t="s">
        <v>37</v>
      </c>
    </row>
    <row r="101" spans="3:10" x14ac:dyDescent="0.2">
      <c r="C101" s="2">
        <v>2016</v>
      </c>
      <c r="D101" s="4">
        <v>367462</v>
      </c>
      <c r="E101">
        <v>9</v>
      </c>
      <c r="F101">
        <v>1</v>
      </c>
      <c r="G101">
        <f t="shared" ref="G101:G110" si="15">PRODUCT(D101,F101)</f>
        <v>367462</v>
      </c>
      <c r="H101">
        <f t="shared" ref="H101:H110" si="16">G101-D101</f>
        <v>0</v>
      </c>
      <c r="I101" s="3">
        <v>652618</v>
      </c>
      <c r="J101" s="7">
        <f>(G101/I101)*100</f>
        <v>56.305832814908563</v>
      </c>
    </row>
    <row r="102" spans="3:10" x14ac:dyDescent="0.2">
      <c r="C102" s="2">
        <v>2017</v>
      </c>
      <c r="D102" s="4">
        <v>337224</v>
      </c>
      <c r="E102">
        <v>8</v>
      </c>
      <c r="F102">
        <v>1.001873082952764</v>
      </c>
      <c r="G102">
        <f t="shared" si="15"/>
        <v>337855.64852566289</v>
      </c>
      <c r="H102" s="7">
        <f t="shared" si="16"/>
        <v>631.64852566289483</v>
      </c>
      <c r="I102" s="3">
        <v>629958</v>
      </c>
      <c r="J102" s="7">
        <f t="shared" ref="J102:J109" si="17">(G102/I102)*100</f>
        <v>53.631456148769111</v>
      </c>
    </row>
    <row r="103" spans="3:10" x14ac:dyDescent="0.2">
      <c r="C103" s="2">
        <v>2018</v>
      </c>
      <c r="D103" s="4">
        <v>352652</v>
      </c>
      <c r="E103">
        <v>7</v>
      </c>
      <c r="F103">
        <v>1.0032282981043441</v>
      </c>
      <c r="G103">
        <f t="shared" si="15"/>
        <v>353790.46578309318</v>
      </c>
      <c r="H103" s="7">
        <f t="shared" si="16"/>
        <v>1138.4657830931828</v>
      </c>
      <c r="I103" s="3">
        <v>617802</v>
      </c>
      <c r="J103" s="7">
        <f t="shared" si="17"/>
        <v>57.265995542761786</v>
      </c>
    </row>
    <row r="104" spans="3:10" x14ac:dyDescent="0.2">
      <c r="C104" s="2">
        <v>2019</v>
      </c>
      <c r="D104" s="4">
        <v>334290</v>
      </c>
      <c r="E104">
        <v>6</v>
      </c>
      <c r="F104">
        <v>1.0082509291895081</v>
      </c>
      <c r="G104">
        <f t="shared" si="15"/>
        <v>337048.20311876066</v>
      </c>
      <c r="H104" s="7">
        <f t="shared" si="16"/>
        <v>2758.2031187606626</v>
      </c>
      <c r="I104" s="3">
        <v>622842</v>
      </c>
      <c r="J104" s="7">
        <f t="shared" si="17"/>
        <v>54.114559249177262</v>
      </c>
    </row>
    <row r="105" spans="3:10" x14ac:dyDescent="0.2">
      <c r="C105" s="2">
        <v>2020</v>
      </c>
      <c r="D105" s="4">
        <v>351885</v>
      </c>
      <c r="E105">
        <v>5</v>
      </c>
      <c r="F105">
        <v>1.0161971532397243</v>
      </c>
      <c r="G105">
        <f t="shared" si="15"/>
        <v>357584.5352677604</v>
      </c>
      <c r="H105" s="7">
        <f t="shared" si="16"/>
        <v>5699.5352677603951</v>
      </c>
      <c r="I105" s="3">
        <v>627580</v>
      </c>
      <c r="J105" s="7">
        <f t="shared" si="17"/>
        <v>56.978319141425857</v>
      </c>
    </row>
    <row r="106" spans="3:10" x14ac:dyDescent="0.2">
      <c r="C106" s="2">
        <v>2021</v>
      </c>
      <c r="D106" s="4">
        <v>399847</v>
      </c>
      <c r="E106">
        <v>4</v>
      </c>
      <c r="F106">
        <v>1.0282143203784653</v>
      </c>
      <c r="G106">
        <f t="shared" si="15"/>
        <v>411128.41136036819</v>
      </c>
      <c r="H106" s="7">
        <f t="shared" si="16"/>
        <v>11281.411360368191</v>
      </c>
      <c r="I106" s="3">
        <v>741372</v>
      </c>
      <c r="J106" s="7">
        <f t="shared" si="17"/>
        <v>55.455076717271247</v>
      </c>
    </row>
    <row r="107" spans="3:10" x14ac:dyDescent="0.2">
      <c r="C107" s="2">
        <v>2022</v>
      </c>
      <c r="D107" s="4">
        <v>419699</v>
      </c>
      <c r="E107">
        <v>3</v>
      </c>
      <c r="F107">
        <v>1.0530508282419728</v>
      </c>
      <c r="G107">
        <f t="shared" si="15"/>
        <v>441964.37956232775</v>
      </c>
      <c r="H107" s="7">
        <f t="shared" si="16"/>
        <v>22265.379562327755</v>
      </c>
      <c r="I107" s="3">
        <v>837479</v>
      </c>
      <c r="J107" s="7">
        <f t="shared" si="17"/>
        <v>52.77318948443218</v>
      </c>
    </row>
    <row r="108" spans="3:10" x14ac:dyDescent="0.2">
      <c r="C108" s="2">
        <v>2023</v>
      </c>
      <c r="D108" s="4">
        <v>505198</v>
      </c>
      <c r="E108">
        <v>2</v>
      </c>
      <c r="F108">
        <v>1.0750560939684446</v>
      </c>
      <c r="G108">
        <f t="shared" si="15"/>
        <v>543116.18856067024</v>
      </c>
      <c r="H108" s="7">
        <f t="shared" si="16"/>
        <v>37918.188560670242</v>
      </c>
      <c r="I108" s="3">
        <v>931241</v>
      </c>
      <c r="J108" s="7">
        <f t="shared" si="17"/>
        <v>58.321765102768261</v>
      </c>
    </row>
    <row r="109" spans="3:10" x14ac:dyDescent="0.2">
      <c r="C109" s="2">
        <v>2024</v>
      </c>
      <c r="D109" s="4">
        <v>521441</v>
      </c>
      <c r="E109">
        <v>1</v>
      </c>
      <c r="F109">
        <v>1.121647584886446</v>
      </c>
      <c r="G109">
        <f t="shared" si="15"/>
        <v>584873.03831077332</v>
      </c>
      <c r="H109" s="7">
        <f t="shared" si="16"/>
        <v>63432.038310773321</v>
      </c>
      <c r="I109" s="3">
        <v>1102618</v>
      </c>
      <c r="J109" s="7">
        <f t="shared" si="17"/>
        <v>53.044031415301887</v>
      </c>
    </row>
    <row r="110" spans="3:10" x14ac:dyDescent="0.2">
      <c r="C110" s="2">
        <v>2025</v>
      </c>
      <c r="D110" s="4">
        <v>418412</v>
      </c>
      <c r="E110">
        <v>0</v>
      </c>
      <c r="F110">
        <v>1.4731611121018005</v>
      </c>
      <c r="G110">
        <f t="shared" si="15"/>
        <v>616388.28723673848</v>
      </c>
      <c r="H110" s="7">
        <f t="shared" si="16"/>
        <v>197976.28723673848</v>
      </c>
      <c r="I110" s="3">
        <v>1384189</v>
      </c>
      <c r="J110" s="7">
        <f>(G110/I110)*100</f>
        <v>44.530644820666723</v>
      </c>
    </row>
    <row r="111" spans="3:10" x14ac:dyDescent="0.2">
      <c r="F111" s="2" t="s">
        <v>38</v>
      </c>
      <c r="G111" s="2">
        <f>SUM(G101:G110)</f>
        <v>4351211.1577261547</v>
      </c>
      <c r="H111" s="8">
        <f>SUM(H101:H110)</f>
        <v>343101.15772615513</v>
      </c>
      <c r="I111" s="9">
        <f>SUM(I101:I110)</f>
        <v>8147699</v>
      </c>
      <c r="J111" s="8">
        <f t="shared" ref="J111" si="18">(G111/I111)*100</f>
        <v>53.404171628408889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D3AA-3E7B-7D47-8167-46A04EF2B5B5}">
  <dimension ref="B8:G110"/>
  <sheetViews>
    <sheetView tabSelected="1" workbookViewId="0">
      <selection activeCell="B8" sqref="B8:G18"/>
    </sheetView>
  </sheetViews>
  <sheetFormatPr baseColWidth="10" defaultRowHeight="16" x14ac:dyDescent="0.2"/>
  <cols>
    <col min="2" max="2" width="12.5" bestFit="1" customWidth="1"/>
    <col min="3" max="3" width="15.83203125" bestFit="1" customWidth="1"/>
    <col min="4" max="4" width="37.83203125" bestFit="1" customWidth="1"/>
    <col min="5" max="5" width="25.5" bestFit="1" customWidth="1"/>
    <col min="6" max="6" width="16.83203125" bestFit="1" customWidth="1"/>
    <col min="7" max="7" width="20.1640625" style="2" bestFit="1" customWidth="1"/>
  </cols>
  <sheetData>
    <row r="8" spans="2:7" x14ac:dyDescent="0.2">
      <c r="B8" s="2" t="s">
        <v>30</v>
      </c>
      <c r="C8" s="2" t="s">
        <v>36</v>
      </c>
      <c r="D8" s="2" t="s">
        <v>39</v>
      </c>
      <c r="E8" s="2" t="s">
        <v>40</v>
      </c>
      <c r="F8" s="2" t="s">
        <v>41</v>
      </c>
      <c r="G8" s="2" t="s">
        <v>42</v>
      </c>
    </row>
    <row r="9" spans="2:7" x14ac:dyDescent="0.2">
      <c r="B9" s="2">
        <v>2016</v>
      </c>
      <c r="C9" s="3">
        <v>28365742</v>
      </c>
      <c r="D9" s="7">
        <v>62.451177903260913</v>
      </c>
      <c r="E9">
        <v>64.849999999999994</v>
      </c>
      <c r="F9" s="7">
        <f>D9-E9</f>
        <v>-2.3988220967390816</v>
      </c>
      <c r="G9" s="2" t="s">
        <v>43</v>
      </c>
    </row>
    <row r="10" spans="2:7" x14ac:dyDescent="0.2">
      <c r="B10" s="2">
        <v>2017</v>
      </c>
      <c r="C10" s="3">
        <v>29036977</v>
      </c>
      <c r="D10" s="7">
        <v>61.390036910504996</v>
      </c>
      <c r="E10">
        <v>64.849999999999994</v>
      </c>
      <c r="F10" s="7">
        <f>D10-E10</f>
        <v>-3.4599630894949982</v>
      </c>
      <c r="G10" s="2" t="s">
        <v>43</v>
      </c>
    </row>
    <row r="11" spans="2:7" x14ac:dyDescent="0.2">
      <c r="B11" s="2">
        <v>2018</v>
      </c>
      <c r="C11" s="3">
        <v>30384610</v>
      </c>
      <c r="D11" s="7">
        <v>60.982927746530933</v>
      </c>
      <c r="E11">
        <v>64.849999999999994</v>
      </c>
      <c r="F11" s="7">
        <f t="shared" ref="F11:F18" si="0">D11-E11</f>
        <v>-3.8670722534690611</v>
      </c>
      <c r="G11" s="2" t="s">
        <v>43</v>
      </c>
    </row>
    <row r="12" spans="2:7" x14ac:dyDescent="0.2">
      <c r="B12" s="2">
        <v>2019</v>
      </c>
      <c r="C12" s="3">
        <v>32154348</v>
      </c>
      <c r="D12" s="7">
        <v>62.441883569181954</v>
      </c>
      <c r="E12">
        <v>64.849999999999994</v>
      </c>
      <c r="F12" s="7">
        <f t="shared" si="0"/>
        <v>-2.4081164308180405</v>
      </c>
      <c r="G12" s="2" t="s">
        <v>43</v>
      </c>
    </row>
    <row r="13" spans="2:7" x14ac:dyDescent="0.2">
      <c r="B13" s="2">
        <v>2020</v>
      </c>
      <c r="C13" s="3">
        <v>32004143</v>
      </c>
      <c r="D13" s="7">
        <v>57.97230943312077</v>
      </c>
      <c r="E13">
        <v>64.849999999999994</v>
      </c>
      <c r="F13" s="7">
        <f t="shared" si="0"/>
        <v>-6.8776905668792239</v>
      </c>
      <c r="G13" s="10" t="s">
        <v>44</v>
      </c>
    </row>
    <row r="14" spans="2:7" x14ac:dyDescent="0.2">
      <c r="B14" s="2">
        <v>2021</v>
      </c>
      <c r="C14" s="3">
        <v>35836933</v>
      </c>
      <c r="D14" s="7">
        <v>69.592478374824239</v>
      </c>
      <c r="E14">
        <v>64.849999999999994</v>
      </c>
      <c r="F14" s="7">
        <f t="shared" si="0"/>
        <v>4.7424783748242447</v>
      </c>
      <c r="G14" s="2" t="s">
        <v>43</v>
      </c>
    </row>
    <row r="15" spans="2:7" x14ac:dyDescent="0.2">
      <c r="B15" s="2">
        <v>2022</v>
      </c>
      <c r="C15" s="3">
        <v>39258018</v>
      </c>
      <c r="D15" s="7">
        <v>72.975684518180344</v>
      </c>
      <c r="E15">
        <v>64.849999999999994</v>
      </c>
      <c r="F15" s="7">
        <f t="shared" si="0"/>
        <v>8.1256845181803499</v>
      </c>
      <c r="G15" s="11" t="s">
        <v>45</v>
      </c>
    </row>
    <row r="16" spans="2:7" x14ac:dyDescent="0.2">
      <c r="B16" s="2">
        <v>2023</v>
      </c>
      <c r="C16" s="3">
        <v>43412876</v>
      </c>
      <c r="D16" s="7">
        <v>73.654517295966187</v>
      </c>
      <c r="E16">
        <v>64.849999999999994</v>
      </c>
      <c r="F16" s="7">
        <f t="shared" si="0"/>
        <v>8.8045172959661926</v>
      </c>
      <c r="G16" s="11" t="s">
        <v>45</v>
      </c>
    </row>
    <row r="17" spans="2:7" x14ac:dyDescent="0.2">
      <c r="B17" s="2">
        <v>2024</v>
      </c>
      <c r="C17" s="3">
        <v>48919086</v>
      </c>
      <c r="D17" s="7">
        <v>64.915318141083915</v>
      </c>
      <c r="E17">
        <v>64.849999999999994</v>
      </c>
      <c r="F17" s="7">
        <f t="shared" si="0"/>
        <v>6.5318141083920978E-2</v>
      </c>
      <c r="G17" s="2" t="s">
        <v>43</v>
      </c>
    </row>
    <row r="18" spans="2:7" x14ac:dyDescent="0.2">
      <c r="B18" s="2">
        <v>2025</v>
      </c>
      <c r="C18" s="3">
        <v>52969368</v>
      </c>
      <c r="D18" s="7">
        <v>59.326698457941731</v>
      </c>
      <c r="E18">
        <v>64.849999999999994</v>
      </c>
      <c r="F18" s="7">
        <f t="shared" si="0"/>
        <v>-5.5233015420582632</v>
      </c>
      <c r="G18" s="10" t="s">
        <v>44</v>
      </c>
    </row>
    <row r="28" spans="2:7" x14ac:dyDescent="0.2">
      <c r="B28" s="2" t="s">
        <v>30</v>
      </c>
      <c r="C28" s="2" t="s">
        <v>36</v>
      </c>
      <c r="D28" s="2" t="s">
        <v>39</v>
      </c>
      <c r="E28" s="2" t="s">
        <v>40</v>
      </c>
      <c r="F28" s="2" t="s">
        <v>41</v>
      </c>
      <c r="G28" s="2" t="s">
        <v>42</v>
      </c>
    </row>
    <row r="29" spans="2:7" x14ac:dyDescent="0.2">
      <c r="B29" s="2">
        <v>2016</v>
      </c>
      <c r="C29" s="3">
        <v>7213328</v>
      </c>
      <c r="D29" s="7">
        <v>54.365876610629662</v>
      </c>
      <c r="E29">
        <v>62.45</v>
      </c>
      <c r="F29" s="7">
        <f>D29-E29</f>
        <v>-8.0841233893703404</v>
      </c>
      <c r="G29" s="10" t="s">
        <v>44</v>
      </c>
    </row>
    <row r="30" spans="2:7" x14ac:dyDescent="0.2">
      <c r="B30" s="2">
        <v>2017</v>
      </c>
      <c r="C30" s="3">
        <v>7252088</v>
      </c>
      <c r="D30" s="7">
        <v>59.217739350615709</v>
      </c>
      <c r="E30">
        <v>62.45</v>
      </c>
      <c r="F30" s="7">
        <f>D30-E30</f>
        <v>-3.232260649384294</v>
      </c>
      <c r="G30" s="2" t="s">
        <v>43</v>
      </c>
    </row>
    <row r="31" spans="2:7" x14ac:dyDescent="0.2">
      <c r="B31" s="2">
        <v>2018</v>
      </c>
      <c r="C31" s="3">
        <v>7409282</v>
      </c>
      <c r="D31" s="7">
        <v>59.908940821341098</v>
      </c>
      <c r="E31">
        <v>62.45</v>
      </c>
      <c r="F31" s="7">
        <f t="shared" ref="F31:F38" si="1">D31-E31</f>
        <v>-2.5410591786589052</v>
      </c>
      <c r="G31" s="2" t="s">
        <v>43</v>
      </c>
    </row>
    <row r="32" spans="2:7" x14ac:dyDescent="0.2">
      <c r="B32" s="2">
        <v>2019</v>
      </c>
      <c r="C32" s="3">
        <v>7822918</v>
      </c>
      <c r="D32" s="7">
        <v>58.917787646992558</v>
      </c>
      <c r="E32">
        <v>62.45</v>
      </c>
      <c r="F32" s="7">
        <f t="shared" si="1"/>
        <v>-3.532212353007445</v>
      </c>
      <c r="G32" s="2" t="s">
        <v>43</v>
      </c>
    </row>
    <row r="33" spans="2:7" x14ac:dyDescent="0.2">
      <c r="B33" s="2">
        <v>2020</v>
      </c>
      <c r="C33" s="3">
        <v>8187778</v>
      </c>
      <c r="D33" s="7">
        <v>66.390992031800309</v>
      </c>
      <c r="E33">
        <v>62.45</v>
      </c>
      <c r="F33" s="7">
        <f t="shared" si="1"/>
        <v>3.940992031800306</v>
      </c>
      <c r="G33" s="2" t="s">
        <v>43</v>
      </c>
    </row>
    <row r="34" spans="2:7" x14ac:dyDescent="0.2">
      <c r="B34" s="2">
        <v>2021</v>
      </c>
      <c r="C34" s="3">
        <v>8524429</v>
      </c>
      <c r="D34" s="7">
        <v>71.356158821229684</v>
      </c>
      <c r="E34">
        <v>62.45</v>
      </c>
      <c r="F34" s="7">
        <f t="shared" si="1"/>
        <v>8.9061588212296812</v>
      </c>
      <c r="G34" s="11" t="s">
        <v>45</v>
      </c>
    </row>
    <row r="35" spans="2:7" x14ac:dyDescent="0.2">
      <c r="B35" s="2">
        <v>2022</v>
      </c>
      <c r="C35" s="3">
        <v>9723000</v>
      </c>
      <c r="D35" s="7">
        <v>62.201553558748031</v>
      </c>
      <c r="E35">
        <v>62.45</v>
      </c>
      <c r="F35" s="7">
        <f t="shared" si="1"/>
        <v>-0.24844644125197135</v>
      </c>
      <c r="G35" s="2" t="s">
        <v>43</v>
      </c>
    </row>
    <row r="36" spans="2:7" x14ac:dyDescent="0.2">
      <c r="B36" s="2">
        <v>2023</v>
      </c>
      <c r="C36" s="3">
        <v>10949703</v>
      </c>
      <c r="D36" s="7">
        <v>72.169590613846552</v>
      </c>
      <c r="E36">
        <v>62.45</v>
      </c>
      <c r="F36" s="7">
        <f t="shared" si="1"/>
        <v>9.7195906138465489</v>
      </c>
      <c r="G36" s="11" t="s">
        <v>45</v>
      </c>
    </row>
    <row r="37" spans="2:7" x14ac:dyDescent="0.2">
      <c r="B37" s="2">
        <v>2024</v>
      </c>
      <c r="C37" s="3">
        <v>12616712</v>
      </c>
      <c r="D37" s="7">
        <v>62.833193465476732</v>
      </c>
      <c r="E37">
        <v>62.45</v>
      </c>
      <c r="F37" s="7">
        <f t="shared" si="1"/>
        <v>0.3831934654767295</v>
      </c>
      <c r="G37" s="2" t="s">
        <v>43</v>
      </c>
    </row>
    <row r="38" spans="2:7" x14ac:dyDescent="0.2">
      <c r="B38" s="2">
        <v>2025</v>
      </c>
      <c r="C38" s="3">
        <v>14516952</v>
      </c>
      <c r="D38" s="7">
        <v>56.362304088992452</v>
      </c>
      <c r="E38">
        <v>62.45</v>
      </c>
      <c r="F38" s="7">
        <f t="shared" si="1"/>
        <v>-6.0876959110075504</v>
      </c>
      <c r="G38" s="10" t="s">
        <v>44</v>
      </c>
    </row>
    <row r="39" spans="2:7" x14ac:dyDescent="0.2">
      <c r="C39" s="9"/>
    </row>
    <row r="46" spans="2:7" x14ac:dyDescent="0.2">
      <c r="B46" s="2" t="s">
        <v>30</v>
      </c>
      <c r="C46" s="2" t="s">
        <v>36</v>
      </c>
      <c r="D46" s="2" t="s">
        <v>39</v>
      </c>
      <c r="E46" s="2" t="s">
        <v>40</v>
      </c>
      <c r="F46" s="2" t="s">
        <v>41</v>
      </c>
      <c r="G46" s="2" t="s">
        <v>42</v>
      </c>
    </row>
    <row r="47" spans="2:7" x14ac:dyDescent="0.2">
      <c r="B47" s="2">
        <v>2016</v>
      </c>
      <c r="C47" s="3">
        <v>11336988</v>
      </c>
      <c r="D47" s="7">
        <v>71.496318069667183</v>
      </c>
      <c r="E47">
        <v>72.36</v>
      </c>
      <c r="F47" s="7">
        <f>D47-E47</f>
        <v>-0.86368193033281671</v>
      </c>
      <c r="G47" s="2" t="s">
        <v>43</v>
      </c>
    </row>
    <row r="48" spans="2:7" x14ac:dyDescent="0.2">
      <c r="B48" s="2">
        <v>2017</v>
      </c>
      <c r="C48" s="3">
        <v>11837624</v>
      </c>
      <c r="D48" s="7">
        <v>66.733174989767733</v>
      </c>
      <c r="E48">
        <v>72.36</v>
      </c>
      <c r="F48" s="7">
        <f>D48-E48</f>
        <v>-5.6268250102322668</v>
      </c>
      <c r="G48" s="10" t="s">
        <v>44</v>
      </c>
    </row>
    <row r="49" spans="2:7" x14ac:dyDescent="0.2">
      <c r="B49" s="2">
        <v>2018</v>
      </c>
      <c r="C49" s="3">
        <v>12381799</v>
      </c>
      <c r="D49" s="7">
        <v>67.09625328770521</v>
      </c>
      <c r="E49">
        <v>72.36</v>
      </c>
      <c r="F49" s="7">
        <f t="shared" ref="F49:F56" si="2">D49-E49</f>
        <v>-5.2637467122947896</v>
      </c>
      <c r="G49" s="10" t="s">
        <v>44</v>
      </c>
    </row>
    <row r="50" spans="2:7" x14ac:dyDescent="0.2">
      <c r="B50" s="2">
        <v>2019</v>
      </c>
      <c r="C50" s="3">
        <v>12827570</v>
      </c>
      <c r="D50" s="7">
        <v>70.250419944745644</v>
      </c>
      <c r="E50">
        <v>72.36</v>
      </c>
      <c r="F50" s="7">
        <f t="shared" si="2"/>
        <v>-2.1095800552543551</v>
      </c>
      <c r="G50" s="2" t="s">
        <v>43</v>
      </c>
    </row>
    <row r="51" spans="2:7" x14ac:dyDescent="0.2">
      <c r="B51" s="2">
        <v>2020</v>
      </c>
      <c r="C51" s="3">
        <v>12336855</v>
      </c>
      <c r="D51" s="7">
        <v>59.222850845697863</v>
      </c>
      <c r="E51">
        <v>72.36</v>
      </c>
      <c r="F51" s="7">
        <f t="shared" si="2"/>
        <v>-13.137149154302136</v>
      </c>
      <c r="G51" s="10" t="s">
        <v>44</v>
      </c>
    </row>
    <row r="52" spans="2:7" x14ac:dyDescent="0.2">
      <c r="B52" s="2">
        <v>2021</v>
      </c>
      <c r="C52" s="3">
        <v>13449965</v>
      </c>
      <c r="D52" s="7">
        <v>75.492562638644415</v>
      </c>
      <c r="E52">
        <v>72.36</v>
      </c>
      <c r="F52" s="7">
        <f t="shared" si="2"/>
        <v>3.1325626386444156</v>
      </c>
      <c r="G52" s="2" t="s">
        <v>43</v>
      </c>
    </row>
    <row r="53" spans="2:7" x14ac:dyDescent="0.2">
      <c r="B53" s="2">
        <v>2022</v>
      </c>
      <c r="C53" s="3">
        <v>14619643</v>
      </c>
      <c r="D53" s="7">
        <v>82.894135462187364</v>
      </c>
      <c r="E53">
        <v>72.36</v>
      </c>
      <c r="F53" s="7">
        <f t="shared" si="2"/>
        <v>10.534135462187365</v>
      </c>
      <c r="G53" s="11" t="s">
        <v>45</v>
      </c>
    </row>
    <row r="54" spans="2:7" x14ac:dyDescent="0.2">
      <c r="B54" s="2">
        <v>2023</v>
      </c>
      <c r="C54" s="3">
        <v>16660394</v>
      </c>
      <c r="D54" s="7">
        <v>80.418497896141147</v>
      </c>
      <c r="E54">
        <v>72.36</v>
      </c>
      <c r="F54" s="7">
        <f t="shared" si="2"/>
        <v>8.058497896141148</v>
      </c>
      <c r="G54" s="11" t="s">
        <v>45</v>
      </c>
    </row>
    <row r="55" spans="2:7" x14ac:dyDescent="0.2">
      <c r="B55" s="2">
        <v>2024</v>
      </c>
      <c r="C55" s="3">
        <v>18993672</v>
      </c>
      <c r="D55" s="7">
        <v>72.828588718093073</v>
      </c>
      <c r="E55">
        <v>72.36</v>
      </c>
      <c r="F55" s="7">
        <f t="shared" si="2"/>
        <v>0.46858871809307345</v>
      </c>
      <c r="G55" s="2" t="s">
        <v>43</v>
      </c>
    </row>
    <row r="56" spans="2:7" x14ac:dyDescent="0.2">
      <c r="B56" s="2">
        <v>2025</v>
      </c>
      <c r="C56" s="3">
        <v>20474091</v>
      </c>
      <c r="D56" s="7">
        <v>71.962116159244545</v>
      </c>
      <c r="E56">
        <v>72.36</v>
      </c>
      <c r="F56" s="7">
        <f t="shared" si="2"/>
        <v>-0.3978838407554548</v>
      </c>
      <c r="G56" s="2" t="s">
        <v>43</v>
      </c>
    </row>
    <row r="64" spans="2:7" x14ac:dyDescent="0.2">
      <c r="B64" s="2" t="s">
        <v>30</v>
      </c>
      <c r="C64" s="2" t="s">
        <v>36</v>
      </c>
      <c r="D64" s="2" t="s">
        <v>39</v>
      </c>
      <c r="E64" s="2" t="s">
        <v>40</v>
      </c>
      <c r="F64" s="2" t="s">
        <v>41</v>
      </c>
      <c r="G64" s="2" t="s">
        <v>42</v>
      </c>
    </row>
    <row r="65" spans="2:7" x14ac:dyDescent="0.2">
      <c r="B65" s="2">
        <v>2016</v>
      </c>
      <c r="C65" s="3">
        <v>255426</v>
      </c>
      <c r="D65" s="7">
        <v>92.87621463750753</v>
      </c>
      <c r="E65">
        <v>103.83</v>
      </c>
      <c r="F65" s="7">
        <f>D65-E65</f>
        <v>-10.953785362492468</v>
      </c>
      <c r="G65" s="10" t="s">
        <v>44</v>
      </c>
    </row>
    <row r="66" spans="2:7" x14ac:dyDescent="0.2">
      <c r="B66" s="2">
        <v>2017</v>
      </c>
      <c r="C66" s="3">
        <v>260211</v>
      </c>
      <c r="D66" s="7">
        <v>76.285255353711591</v>
      </c>
      <c r="E66">
        <v>103.83</v>
      </c>
      <c r="F66" s="7">
        <f>D66-E66</f>
        <v>-27.544744646288407</v>
      </c>
      <c r="G66" s="10" t="s">
        <v>44</v>
      </c>
    </row>
    <row r="67" spans="2:7" x14ac:dyDescent="0.2">
      <c r="B67" s="2">
        <v>2018</v>
      </c>
      <c r="C67" s="3">
        <v>360958</v>
      </c>
      <c r="D67" s="7">
        <v>79.164917445555361</v>
      </c>
      <c r="E67">
        <v>103.83</v>
      </c>
      <c r="F67" s="7">
        <f t="shared" ref="F67:F74" si="3">D67-E67</f>
        <v>-24.665082554444638</v>
      </c>
      <c r="G67" s="10" t="s">
        <v>44</v>
      </c>
    </row>
    <row r="68" spans="2:7" x14ac:dyDescent="0.2">
      <c r="B68" s="2">
        <v>2019</v>
      </c>
      <c r="C68" s="3">
        <v>540525</v>
      </c>
      <c r="D68" s="7">
        <v>89.58386551358916</v>
      </c>
      <c r="E68">
        <v>103.83</v>
      </c>
      <c r="F68" s="7">
        <f t="shared" si="3"/>
        <v>-14.246134486410838</v>
      </c>
      <c r="G68" s="10" t="s">
        <v>44</v>
      </c>
    </row>
    <row r="69" spans="2:7" x14ac:dyDescent="0.2">
      <c r="B69" s="2">
        <v>2020</v>
      </c>
      <c r="C69" s="3">
        <v>464213</v>
      </c>
      <c r="D69" s="7">
        <v>87.384644949938604</v>
      </c>
      <c r="E69">
        <v>103.83</v>
      </c>
      <c r="F69" s="7">
        <f t="shared" si="3"/>
        <v>-16.445355050061394</v>
      </c>
      <c r="G69" s="10" t="s">
        <v>44</v>
      </c>
    </row>
    <row r="70" spans="2:7" x14ac:dyDescent="0.2">
      <c r="B70" s="2">
        <v>2021</v>
      </c>
      <c r="C70" s="3">
        <v>658255</v>
      </c>
      <c r="D70" s="7">
        <v>122.55312429676341</v>
      </c>
      <c r="E70">
        <v>103.83</v>
      </c>
      <c r="F70" s="7">
        <f t="shared" si="3"/>
        <v>18.723124296763416</v>
      </c>
      <c r="G70" s="11" t="s">
        <v>45</v>
      </c>
    </row>
    <row r="71" spans="2:7" x14ac:dyDescent="0.2">
      <c r="B71" s="2">
        <v>2022</v>
      </c>
      <c r="C71" s="3">
        <v>776912</v>
      </c>
      <c r="D71" s="7">
        <v>113.60191434597451</v>
      </c>
      <c r="E71">
        <v>103.83</v>
      </c>
      <c r="F71" s="7">
        <f t="shared" si="3"/>
        <v>9.7719143459745084</v>
      </c>
      <c r="G71" s="11" t="s">
        <v>45</v>
      </c>
    </row>
    <row r="72" spans="2:7" x14ac:dyDescent="0.2">
      <c r="B72" s="2">
        <v>2023</v>
      </c>
      <c r="C72" s="3">
        <v>508036</v>
      </c>
      <c r="D72" s="7">
        <v>118.56540823136923</v>
      </c>
      <c r="E72">
        <v>103.83</v>
      </c>
      <c r="F72" s="7">
        <f t="shared" si="3"/>
        <v>14.735408231369234</v>
      </c>
      <c r="G72" s="11" t="s">
        <v>45</v>
      </c>
    </row>
    <row r="73" spans="2:7" x14ac:dyDescent="0.2">
      <c r="B73" s="2">
        <v>2024</v>
      </c>
      <c r="C73" s="3">
        <v>369985</v>
      </c>
      <c r="D73" s="7">
        <v>106.02180445020856</v>
      </c>
      <c r="E73">
        <v>103.83</v>
      </c>
      <c r="F73" s="7">
        <f t="shared" si="3"/>
        <v>2.191804450208565</v>
      </c>
      <c r="G73" s="2" t="s">
        <v>43</v>
      </c>
    </row>
    <row r="74" spans="2:7" x14ac:dyDescent="0.2">
      <c r="B74" s="2">
        <v>2025</v>
      </c>
      <c r="C74" s="3">
        <v>271591</v>
      </c>
      <c r="D74" s="7">
        <v>125.92340571984622</v>
      </c>
      <c r="E74">
        <v>103.83</v>
      </c>
      <c r="F74" s="7">
        <f t="shared" si="3"/>
        <v>22.093405719846217</v>
      </c>
      <c r="G74" s="11" t="s">
        <v>45</v>
      </c>
    </row>
    <row r="82" spans="2:7" x14ac:dyDescent="0.2">
      <c r="B82" s="2" t="s">
        <v>30</v>
      </c>
      <c r="C82" s="2" t="s">
        <v>36</v>
      </c>
      <c r="D82" s="2" t="s">
        <v>39</v>
      </c>
      <c r="E82" s="2" t="s">
        <v>40</v>
      </c>
      <c r="F82" s="2" t="s">
        <v>41</v>
      </c>
      <c r="G82" s="2" t="s">
        <v>42</v>
      </c>
    </row>
    <row r="83" spans="2:7" x14ac:dyDescent="0.2">
      <c r="B83" s="2">
        <v>2016</v>
      </c>
      <c r="C83" s="3"/>
    </row>
    <row r="84" spans="2:7" x14ac:dyDescent="0.2">
      <c r="B84" s="2">
        <v>2017</v>
      </c>
      <c r="C84" s="3"/>
      <c r="D84" s="5" t="s">
        <v>5</v>
      </c>
    </row>
    <row r="85" spans="2:7" x14ac:dyDescent="0.2">
      <c r="B85" s="2">
        <v>2018</v>
      </c>
      <c r="D85" t="s">
        <v>6</v>
      </c>
    </row>
    <row r="86" spans="2:7" x14ac:dyDescent="0.2">
      <c r="B86" s="2">
        <v>2019</v>
      </c>
      <c r="C86" s="3"/>
    </row>
    <row r="87" spans="2:7" x14ac:dyDescent="0.2">
      <c r="B87" s="2">
        <v>2020</v>
      </c>
      <c r="C87" s="3"/>
    </row>
    <row r="88" spans="2:7" x14ac:dyDescent="0.2">
      <c r="B88" s="2">
        <v>2021</v>
      </c>
      <c r="C88" s="3"/>
    </row>
    <row r="89" spans="2:7" x14ac:dyDescent="0.2">
      <c r="B89" s="2">
        <v>2022</v>
      </c>
      <c r="C89" s="3"/>
    </row>
    <row r="90" spans="2:7" x14ac:dyDescent="0.2">
      <c r="B90" s="2">
        <v>2023</v>
      </c>
      <c r="C90" s="3"/>
    </row>
    <row r="91" spans="2:7" x14ac:dyDescent="0.2">
      <c r="B91" s="2">
        <v>2024</v>
      </c>
      <c r="C91" s="3"/>
    </row>
    <row r="92" spans="2:7" x14ac:dyDescent="0.2">
      <c r="B92" s="2">
        <v>2025</v>
      </c>
      <c r="C92" s="3"/>
    </row>
    <row r="100" spans="2:7" x14ac:dyDescent="0.2">
      <c r="B100" s="2" t="s">
        <v>30</v>
      </c>
      <c r="C100" s="2" t="s">
        <v>36</v>
      </c>
      <c r="D100" s="2" t="s">
        <v>39</v>
      </c>
      <c r="E100" s="2" t="s">
        <v>40</v>
      </c>
      <c r="F100" s="2" t="s">
        <v>41</v>
      </c>
      <c r="G100" s="2" t="s">
        <v>42</v>
      </c>
    </row>
    <row r="101" spans="2:7" x14ac:dyDescent="0.2">
      <c r="B101" s="2">
        <v>2016</v>
      </c>
      <c r="C101" s="3">
        <v>652618</v>
      </c>
      <c r="D101" s="7">
        <v>56.305832814908563</v>
      </c>
      <c r="E101">
        <v>53.4</v>
      </c>
      <c r="F101" s="7">
        <f>D101-E101</f>
        <v>2.9058328149085639</v>
      </c>
      <c r="G101" s="2" t="s">
        <v>43</v>
      </c>
    </row>
    <row r="102" spans="2:7" x14ac:dyDescent="0.2">
      <c r="B102" s="2">
        <v>2017</v>
      </c>
      <c r="C102" s="3">
        <v>629958</v>
      </c>
      <c r="D102" s="7">
        <v>53.631456148769111</v>
      </c>
      <c r="E102">
        <v>53.4</v>
      </c>
      <c r="F102" s="7">
        <f>D102-E102</f>
        <v>0.23145614876911225</v>
      </c>
      <c r="G102" s="2" t="s">
        <v>43</v>
      </c>
    </row>
    <row r="103" spans="2:7" x14ac:dyDescent="0.2">
      <c r="B103" s="2">
        <v>2018</v>
      </c>
      <c r="C103" s="3">
        <v>617802</v>
      </c>
      <c r="D103" s="7">
        <v>57.265995542761786</v>
      </c>
      <c r="E103">
        <v>53.4</v>
      </c>
      <c r="F103" s="7">
        <f t="shared" ref="F103:F110" si="4">D103-E103</f>
        <v>3.8659955427617874</v>
      </c>
      <c r="G103" s="2" t="s">
        <v>43</v>
      </c>
    </row>
    <row r="104" spans="2:7" x14ac:dyDescent="0.2">
      <c r="B104" s="2">
        <v>2019</v>
      </c>
      <c r="C104" s="3">
        <v>622842</v>
      </c>
      <c r="D104" s="7">
        <v>54.114559249177262</v>
      </c>
      <c r="E104">
        <v>53.4</v>
      </c>
      <c r="F104" s="7">
        <f t="shared" si="4"/>
        <v>0.71455924917726321</v>
      </c>
      <c r="G104" s="2" t="s">
        <v>43</v>
      </c>
    </row>
    <row r="105" spans="2:7" x14ac:dyDescent="0.2">
      <c r="B105" s="2">
        <v>2020</v>
      </c>
      <c r="C105" s="3">
        <v>627580</v>
      </c>
      <c r="D105" s="7">
        <v>56.978319141425857</v>
      </c>
      <c r="E105">
        <v>53.4</v>
      </c>
      <c r="F105" s="7">
        <f t="shared" si="4"/>
        <v>3.5783191414258582</v>
      </c>
      <c r="G105" s="2" t="s">
        <v>43</v>
      </c>
    </row>
    <row r="106" spans="2:7" x14ac:dyDescent="0.2">
      <c r="B106" s="2">
        <v>2021</v>
      </c>
      <c r="C106" s="3">
        <v>741372</v>
      </c>
      <c r="D106" s="7">
        <v>55.455076717271247</v>
      </c>
      <c r="E106">
        <v>53.4</v>
      </c>
      <c r="F106" s="7">
        <f t="shared" si="4"/>
        <v>2.0550767172712483</v>
      </c>
      <c r="G106" s="2" t="s">
        <v>43</v>
      </c>
    </row>
    <row r="107" spans="2:7" x14ac:dyDescent="0.2">
      <c r="B107" s="2">
        <v>2022</v>
      </c>
      <c r="C107" s="3">
        <v>837479</v>
      </c>
      <c r="D107" s="7">
        <v>52.77318948443218</v>
      </c>
      <c r="E107">
        <v>53.4</v>
      </c>
      <c r="F107" s="7">
        <f t="shared" si="4"/>
        <v>-0.62681051556781853</v>
      </c>
      <c r="G107" s="2" t="s">
        <v>43</v>
      </c>
    </row>
    <row r="108" spans="2:7" x14ac:dyDescent="0.2">
      <c r="B108" s="2">
        <v>2023</v>
      </c>
      <c r="C108" s="3">
        <v>931241</v>
      </c>
      <c r="D108" s="7">
        <v>58.321765102768261</v>
      </c>
      <c r="E108">
        <v>53.4</v>
      </c>
      <c r="F108" s="7">
        <f t="shared" si="4"/>
        <v>4.9217651027682621</v>
      </c>
      <c r="G108" s="2" t="s">
        <v>43</v>
      </c>
    </row>
    <row r="109" spans="2:7" x14ac:dyDescent="0.2">
      <c r="B109" s="2">
        <v>2024</v>
      </c>
      <c r="C109" s="3">
        <v>1102618</v>
      </c>
      <c r="D109" s="7">
        <v>53.044031415301887</v>
      </c>
      <c r="E109">
        <v>53.4</v>
      </c>
      <c r="F109" s="7">
        <f t="shared" si="4"/>
        <v>-0.3559685846981111</v>
      </c>
      <c r="G109" s="2" t="s">
        <v>43</v>
      </c>
    </row>
    <row r="110" spans="2:7" x14ac:dyDescent="0.2">
      <c r="B110" s="2">
        <v>2025</v>
      </c>
      <c r="C110" s="3">
        <v>1384189</v>
      </c>
      <c r="D110" s="7">
        <v>44.530644820666723</v>
      </c>
      <c r="E110">
        <v>53.4</v>
      </c>
      <c r="F110" s="7">
        <f t="shared" si="4"/>
        <v>-8.8693551793332759</v>
      </c>
      <c r="G110" s="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Loss development triangles</vt:lpstr>
      <vt:lpstr>year to ultimate LDF</vt:lpstr>
      <vt:lpstr>loss reserve and loss ratio</vt:lpstr>
      <vt:lpstr>rate adequacy verdict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 Kandel</dc:creator>
  <cp:lastModifiedBy>Pushkar  Kandel</cp:lastModifiedBy>
  <dcterms:created xsi:type="dcterms:W3CDTF">2026-07-25T01:59:21Z</dcterms:created>
  <dcterms:modified xsi:type="dcterms:W3CDTF">2026-07-26T06:08:33Z</dcterms:modified>
</cp:coreProperties>
</file>